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tefft\Box\Accounting (NSP Admin)\Jeffrey\_SUCCESSION\Business Analyst\Automation\Payroll Formatting\"/>
    </mc:Choice>
  </mc:AlternateContent>
  <xr:revisionPtr revIDLastSave="0" documentId="8_{6A92CFFE-3B5B-4B8A-803C-5C89C3F4B29D}" xr6:coauthVersionLast="36" xr6:coauthVersionMax="36" xr10:uidLastSave="{00000000-0000-0000-0000-000000000000}"/>
  <bookViews>
    <workbookView xWindow="0" yWindow="0" windowWidth="28800" windowHeight="12225" activeTab="1" xr2:uid="{DB1E0528-B321-4210-8F46-A2C955643B68}"/>
  </bookViews>
  <sheets>
    <sheet name="Button" sheetId="4" r:id="rId1"/>
    <sheet name="Output" sheetId="63" r:id="rId2"/>
    <sheet name="RAW" sheetId="62" r:id="rId3"/>
    <sheet name="Template" sheetId="35" r:id="rId4"/>
    <sheet name="FUNCTION" sheetId="7" r:id="rId5"/>
  </sheets>
  <calcPr calcId="191029"/>
  <pivotCaches>
    <pivotCache cacheId="9" r:id="rId6"/>
    <pivotCache cacheId="14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63" l="1"/>
  <c r="C52" i="63"/>
  <c r="D62" i="63"/>
  <c r="F32" i="63" l="1"/>
  <c r="B8" i="7"/>
  <c r="AT24" i="63"/>
  <c r="AS24" i="63"/>
  <c r="AR24" i="63"/>
  <c r="D47" i="63" s="1"/>
  <c r="AQ24" i="63"/>
  <c r="D46" i="63" s="1"/>
  <c r="AP24" i="63"/>
  <c r="D45" i="63" s="1"/>
  <c r="AO24" i="63"/>
  <c r="D50" i="63" s="1"/>
  <c r="AN24" i="63"/>
  <c r="D49" i="63" s="1"/>
  <c r="AM24" i="63"/>
  <c r="C44" i="63" s="1"/>
  <c r="AL24" i="63"/>
  <c r="AK24" i="63"/>
  <c r="AJ24" i="63"/>
  <c r="AI24" i="63"/>
  <c r="AH24" i="63"/>
  <c r="AG24" i="63"/>
  <c r="AF24" i="63"/>
  <c r="AE24" i="63"/>
  <c r="AD24" i="63"/>
  <c r="AC24" i="63"/>
  <c r="AB24" i="63"/>
  <c r="AA24" i="63"/>
  <c r="Z24" i="63"/>
  <c r="Y24" i="63"/>
  <c r="X24" i="63"/>
  <c r="W24" i="63"/>
  <c r="V24" i="63"/>
  <c r="U24" i="63"/>
  <c r="T24" i="63"/>
  <c r="S24" i="63"/>
  <c r="R24" i="63"/>
  <c r="Q24" i="63"/>
  <c r="P24" i="63"/>
  <c r="O24" i="63"/>
  <c r="N24" i="63"/>
  <c r="K24" i="63"/>
  <c r="D51" i="63" s="1"/>
  <c r="I24" i="63"/>
  <c r="H24" i="63"/>
  <c r="G24" i="63"/>
  <c r="D54" i="63" s="1"/>
  <c r="D63" i="63" s="1"/>
  <c r="B9" i="7"/>
  <c r="B6" i="7"/>
  <c r="B3" i="7"/>
  <c r="B5" i="7"/>
  <c r="BZ26" i="62"/>
  <c r="BY26" i="62"/>
  <c r="BX26" i="62"/>
  <c r="BW26" i="62"/>
  <c r="BV26" i="62"/>
  <c r="BU26" i="62"/>
  <c r="BT26" i="62"/>
  <c r="BS26" i="62"/>
  <c r="BR26" i="62"/>
  <c r="BQ26" i="62"/>
  <c r="BP26" i="62"/>
  <c r="BO26" i="62"/>
  <c r="BN26" i="62"/>
  <c r="BM26" i="62"/>
  <c r="BL26" i="62"/>
  <c r="BK26" i="62"/>
  <c r="BJ26" i="62"/>
  <c r="BI26" i="62"/>
  <c r="BH26" i="62"/>
  <c r="BG26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AM26" i="62"/>
  <c r="AL26" i="62"/>
  <c r="AK26" i="62"/>
  <c r="AJ26" i="62"/>
  <c r="AI26" i="62"/>
  <c r="AH26" i="62"/>
  <c r="AG26" i="62"/>
  <c r="AF26" i="62"/>
  <c r="AE26" i="62"/>
  <c r="AD26" i="62"/>
  <c r="AC26" i="62"/>
  <c r="AB26" i="62"/>
  <c r="AA26" i="62"/>
  <c r="Z26" i="62"/>
  <c r="Y26" i="62"/>
  <c r="X26" i="62"/>
  <c r="W26" i="62"/>
  <c r="V26" i="62"/>
  <c r="U26" i="62"/>
  <c r="T26" i="62"/>
  <c r="S26" i="62"/>
  <c r="R26" i="62"/>
  <c r="Q26" i="62"/>
  <c r="P26" i="62"/>
  <c r="O26" i="62"/>
  <c r="N26" i="62"/>
  <c r="M26" i="62"/>
  <c r="L26" i="62"/>
  <c r="K26" i="62"/>
  <c r="E30" i="63"/>
  <c r="C43" i="63"/>
  <c r="C42" i="63"/>
  <c r="E31" i="63"/>
  <c r="E29" i="63"/>
  <c r="E28" i="63"/>
  <c r="E27" i="63"/>
  <c r="E32" i="63" l="1"/>
  <c r="C37" i="63"/>
  <c r="C58" i="63" s="1"/>
  <c r="C39" i="63"/>
  <c r="C41" i="63"/>
  <c r="C40" i="63"/>
  <c r="C38" i="63"/>
  <c r="D53" i="63"/>
  <c r="D64" i="63"/>
  <c r="C48" i="63"/>
  <c r="D58" i="63" l="1"/>
  <c r="V24" i="35"/>
  <c r="W24" i="35"/>
  <c r="X24" i="35"/>
  <c r="AT24" i="35" l="1"/>
  <c r="AS24" i="35"/>
  <c r="E29" i="35"/>
  <c r="E27" i="35"/>
  <c r="AR24" i="35" l="1"/>
  <c r="D47" i="35" s="1"/>
  <c r="AQ24" i="35"/>
  <c r="D46" i="35" s="1"/>
  <c r="AP24" i="35"/>
  <c r="D45" i="35" s="1"/>
  <c r="AO24" i="35"/>
  <c r="D50" i="35" s="1"/>
  <c r="AN24" i="35"/>
  <c r="D49" i="35" s="1"/>
  <c r="AM24" i="35"/>
  <c r="C44" i="35" s="1"/>
  <c r="AL24" i="35"/>
  <c r="AK24" i="35"/>
  <c r="AJ24" i="35"/>
  <c r="AI24" i="35"/>
  <c r="AH24" i="35"/>
  <c r="AG24" i="35"/>
  <c r="D55" i="35" s="1"/>
  <c r="D64" i="35" s="1"/>
  <c r="AF24" i="35"/>
  <c r="AE24" i="35"/>
  <c r="AD24" i="35"/>
  <c r="AC24" i="35"/>
  <c r="AB24" i="35"/>
  <c r="AA24" i="35"/>
  <c r="Z24" i="35"/>
  <c r="Y24" i="35"/>
  <c r="U24" i="35"/>
  <c r="T24" i="35"/>
  <c r="S24" i="35"/>
  <c r="R24" i="35"/>
  <c r="Q24" i="35"/>
  <c r="P24" i="35"/>
  <c r="O24" i="35"/>
  <c r="N24" i="35"/>
  <c r="K24" i="35"/>
  <c r="D51" i="35" s="1"/>
  <c r="I24" i="35"/>
  <c r="H24" i="35"/>
  <c r="G24" i="35"/>
  <c r="D54" i="35" s="1"/>
  <c r="D63" i="35" s="1"/>
  <c r="E30" i="35"/>
  <c r="C42" i="35"/>
  <c r="C43" i="35"/>
  <c r="E31" i="35"/>
  <c r="E28" i="35"/>
  <c r="F32" i="35" l="1"/>
  <c r="E32" i="35"/>
  <c r="C37" i="35"/>
  <c r="C58" i="35" s="1"/>
  <c r="C39" i="35"/>
  <c r="C41" i="35"/>
  <c r="C38" i="35"/>
  <c r="C40" i="35"/>
  <c r="C52" i="35"/>
  <c r="D53" i="35" s="1"/>
  <c r="D62" i="35" s="1"/>
  <c r="C48" i="35"/>
  <c r="D58" i="35" l="1"/>
</calcChain>
</file>

<file path=xl/sharedStrings.xml><?xml version="1.0" encoding="utf-8"?>
<sst xmlns="http://schemas.openxmlformats.org/spreadsheetml/2006/main" count="453" uniqueCount="142">
  <si>
    <t/>
  </si>
  <si>
    <t>Earnings</t>
  </si>
  <si>
    <t>Taxes</t>
  </si>
  <si>
    <t>Taxes ER</t>
  </si>
  <si>
    <t>Deductions</t>
  </si>
  <si>
    <t>REG</t>
  </si>
  <si>
    <t>SALRY</t>
  </si>
  <si>
    <t>401ER</t>
  </si>
  <si>
    <t>ERDEN</t>
  </si>
  <si>
    <t>ERMED</t>
  </si>
  <si>
    <t>ERVIS</t>
  </si>
  <si>
    <t>ESICK</t>
  </si>
  <si>
    <t>ETECH</t>
  </si>
  <si>
    <t>FLOAT</t>
  </si>
  <si>
    <t>PTO</t>
  </si>
  <si>
    <t>SBANK</t>
  </si>
  <si>
    <t>SUPME</t>
  </si>
  <si>
    <t>VAC</t>
  </si>
  <si>
    <t>WELL</t>
  </si>
  <si>
    <t>Total Earnings</t>
  </si>
  <si>
    <t>FITW</t>
  </si>
  <si>
    <t>MED</t>
  </si>
  <si>
    <t>SS</t>
  </si>
  <si>
    <t>CO</t>
  </si>
  <si>
    <t>VA</t>
  </si>
  <si>
    <t>COPFL-EE</t>
  </si>
  <si>
    <t>Total Taxes</t>
  </si>
  <si>
    <t>MED-R</t>
  </si>
  <si>
    <t>SS-R</t>
  </si>
  <si>
    <t>COSUI</t>
  </si>
  <si>
    <t>VASUI</t>
  </si>
  <si>
    <t>COPFL-ER</t>
  </si>
  <si>
    <t>Total Taxes ER</t>
  </si>
  <si>
    <t>401K</t>
  </si>
  <si>
    <t>4ROTH</t>
  </si>
  <si>
    <t>DNTL</t>
  </si>
  <si>
    <t>MDCL</t>
  </si>
  <si>
    <t>VISON</t>
  </si>
  <si>
    <t>Total Deductions</t>
  </si>
  <si>
    <t>Co</t>
  </si>
  <si>
    <t>Department</t>
  </si>
  <si>
    <t>Class</t>
  </si>
  <si>
    <t>Employee</t>
  </si>
  <si>
    <t>ID</t>
  </si>
  <si>
    <t>Process</t>
  </si>
  <si>
    <t>Chk Date</t>
  </si>
  <si>
    <t>Chk/Vchr</t>
  </si>
  <si>
    <t>Net</t>
  </si>
  <si>
    <t>Hrs</t>
  </si>
  <si>
    <t>Amount</t>
  </si>
  <si>
    <t>122060</t>
  </si>
  <si>
    <t>Administration</t>
  </si>
  <si>
    <t>Category</t>
  </si>
  <si>
    <t>9581</t>
  </si>
  <si>
    <t>9579</t>
  </si>
  <si>
    <t>9575</t>
  </si>
  <si>
    <t>Total</t>
  </si>
  <si>
    <t>Education</t>
  </si>
  <si>
    <t>7315</t>
  </si>
  <si>
    <t>9587</t>
  </si>
  <si>
    <t>9585</t>
  </si>
  <si>
    <t>9573</t>
  </si>
  <si>
    <t>Marketing</t>
  </si>
  <si>
    <t>9583</t>
  </si>
  <si>
    <t>9584</t>
  </si>
  <si>
    <t>9586</t>
  </si>
  <si>
    <t>Member Services</t>
  </si>
  <si>
    <t>9564</t>
  </si>
  <si>
    <t>9571</t>
  </si>
  <si>
    <t>9557</t>
  </si>
  <si>
    <t>5863</t>
  </si>
  <si>
    <t>Sales &amp; Partnerships</t>
  </si>
  <si>
    <t>5862</t>
  </si>
  <si>
    <t>6744</t>
  </si>
  <si>
    <t>Tax</t>
  </si>
  <si>
    <t>Net Checks</t>
  </si>
  <si>
    <t>401k</t>
  </si>
  <si>
    <t>Withrawals per Bank Statement</t>
  </si>
  <si>
    <t>Tax Liability</t>
  </si>
  <si>
    <t>401K Payment</t>
  </si>
  <si>
    <t>401k Payable</t>
  </si>
  <si>
    <t>401K Match Expense</t>
  </si>
  <si>
    <t>401K Payable</t>
  </si>
  <si>
    <t>401K Contributions</t>
  </si>
  <si>
    <t>401K Roth Contribtuions</t>
  </si>
  <si>
    <t>401K Match</t>
  </si>
  <si>
    <t>EE Vision Deduction</t>
  </si>
  <si>
    <t>Vision Deductions</t>
  </si>
  <si>
    <t>EE Medical Deduction</t>
  </si>
  <si>
    <t>Medical Deductions</t>
  </si>
  <si>
    <t>EE Dental Deduction</t>
  </si>
  <si>
    <t>Dental Deductions</t>
  </si>
  <si>
    <t>ER Tax Expense</t>
  </si>
  <si>
    <t>Wellness Benefit</t>
  </si>
  <si>
    <t>Telephone Reimbursement</t>
  </si>
  <si>
    <t>Phone</t>
  </si>
  <si>
    <t>Salaries and Wages</t>
  </si>
  <si>
    <t>Store</t>
  </si>
  <si>
    <t>Edu</t>
  </si>
  <si>
    <t>Memo</t>
  </si>
  <si>
    <t>Credit</t>
  </si>
  <si>
    <t>Debit</t>
  </si>
  <si>
    <t>Account</t>
  </si>
  <si>
    <t>Journal Entry</t>
  </si>
  <si>
    <t>Grand Total</t>
  </si>
  <si>
    <t>Salaries</t>
  </si>
  <si>
    <t>Sum of ETECH</t>
  </si>
  <si>
    <t>Sum of WELL</t>
  </si>
  <si>
    <t>Sum of Total Earnings</t>
  </si>
  <si>
    <t>Row Labels</t>
  </si>
  <si>
    <t>HOL</t>
  </si>
  <si>
    <t>COMM</t>
  </si>
  <si>
    <t>(blank)</t>
  </si>
  <si>
    <t>Lookup Value:</t>
  </si>
  <si>
    <t>DIFF</t>
  </si>
  <si>
    <t>Count Output Columns</t>
  </si>
  <si>
    <t>Count RAW Rows</t>
  </si>
  <si>
    <t>Output Column Index</t>
  </si>
  <si>
    <t>Admin</t>
  </si>
  <si>
    <t>Column Output</t>
  </si>
  <si>
    <t>Column Index to Convert</t>
  </si>
  <si>
    <t>OT</t>
  </si>
  <si>
    <t>BONUS</t>
  </si>
  <si>
    <t>BRVMT</t>
  </si>
  <si>
    <t>April, May</t>
  </si>
  <si>
    <t>Cowin, Suzanne</t>
  </si>
  <si>
    <t>Smith, Robert</t>
  </si>
  <si>
    <t>Brooks, Kristen</t>
  </si>
  <si>
    <t>Fisk, Burton</t>
  </si>
  <si>
    <t>Johnston, Alice</t>
  </si>
  <si>
    <t>9582</t>
  </si>
  <si>
    <t>Jonnes, Albert</t>
  </si>
  <si>
    <t>Miller, Megan</t>
  </si>
  <si>
    <t>Dodge, Laura</t>
  </si>
  <si>
    <t>Ferguson, Jamie</t>
  </si>
  <si>
    <t>Rumple, Jasmin</t>
  </si>
  <si>
    <t>Kimberton, Elise</t>
  </si>
  <si>
    <t>Moore, Katherine</t>
  </si>
  <si>
    <t>Packs, Christopher</t>
  </si>
  <si>
    <t>Smythsen, Annabelle</t>
  </si>
  <si>
    <t xml:space="preserve">Tonkersen, Jeffrey </t>
  </si>
  <si>
    <t>Wilson, Richard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</si>
</sst>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0409]mm/dd/yyyy"/>
    <numFmt numFmtId="165" formatCode="[$-10409]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7"/>
      <color rgb="FF000000"/>
      <name val="Times New Roman"/>
      <family val="1"/>
    </font>
    <font>
      <b/>
      <sz val="7"/>
      <color rgb="FF000000"/>
      <name val="Times New Roman"/>
      <family val="1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3D3D3"/>
        <bgColor rgb="FFD3D3D3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43">
    <xf numFmtId="0" fontId="0" fillId="0" borderId="0" xfId="0"/>
    <xf numFmtId="0" fontId="3" fillId="0" borderId="0" xfId="1" applyFont="1"/>
    <xf numFmtId="43" fontId="3" fillId="0" borderId="0" xfId="2" applyFont="1"/>
    <xf numFmtId="0" fontId="1" fillId="0" borderId="0" xfId="3"/>
    <xf numFmtId="43" fontId="4" fillId="0" borderId="0" xfId="2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43" fontId="3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2" xfId="1" applyFont="1" applyBorder="1" applyAlignment="1">
      <alignment horizontal="right" vertical="top" wrapText="1" readingOrder="1"/>
    </xf>
    <xf numFmtId="0" fontId="3" fillId="3" borderId="0" xfId="1" applyFont="1" applyFill="1"/>
    <xf numFmtId="0" fontId="6" fillId="0" borderId="4" xfId="1" applyFont="1" applyBorder="1" applyAlignment="1">
      <alignment wrapText="1" readingOrder="1"/>
    </xf>
    <xf numFmtId="0" fontId="6" fillId="0" borderId="4" xfId="1" applyFont="1" applyBorder="1" applyAlignment="1">
      <alignment horizontal="right" wrapText="1" readingOrder="1"/>
    </xf>
    <xf numFmtId="0" fontId="7" fillId="0" borderId="4" xfId="1" applyFont="1" applyBorder="1" applyAlignment="1">
      <alignment horizontal="right" vertical="top" wrapText="1" readingOrder="1"/>
    </xf>
    <xf numFmtId="0" fontId="7" fillId="0" borderId="2" xfId="1" applyFont="1" applyBorder="1" applyAlignment="1">
      <alignment horizontal="right" vertical="top" wrapText="1" readingOrder="1"/>
    </xf>
    <xf numFmtId="0" fontId="6" fillId="0" borderId="2" xfId="1" applyNumberFormat="1" applyFont="1" applyFill="1" applyBorder="1" applyAlignment="1">
      <alignment vertical="top" wrapText="1" readingOrder="1"/>
    </xf>
    <xf numFmtId="0" fontId="6" fillId="0" borderId="2" xfId="1" applyFont="1" applyBorder="1" applyAlignment="1">
      <alignment vertical="top" wrapText="1" readingOrder="1"/>
    </xf>
    <xf numFmtId="0" fontId="6" fillId="0" borderId="2" xfId="1" applyFont="1" applyBorder="1" applyAlignment="1">
      <alignment horizontal="left" vertical="top" wrapText="1" readingOrder="1"/>
    </xf>
    <xf numFmtId="164" fontId="6" fillId="0" borderId="2" xfId="1" applyNumberFormat="1" applyFont="1" applyBorder="1" applyAlignment="1">
      <alignment horizontal="left" vertical="top" wrapText="1" readingOrder="1"/>
    </xf>
    <xf numFmtId="165" fontId="6" fillId="0" borderId="2" xfId="1" applyNumberFormat="1" applyFont="1" applyBorder="1" applyAlignment="1">
      <alignment horizontal="right" vertical="top" wrapText="1" readingOrder="1"/>
    </xf>
    <xf numFmtId="0" fontId="6" fillId="0" borderId="4" xfId="1" applyFont="1" applyBorder="1" applyAlignment="1">
      <alignment vertical="top" wrapText="1" readingOrder="1"/>
    </xf>
    <xf numFmtId="0" fontId="6" fillId="0" borderId="4" xfId="1" applyFont="1" applyBorder="1" applyAlignment="1">
      <alignment horizontal="left" vertical="top" wrapText="1" readingOrder="1"/>
    </xf>
    <xf numFmtId="164" fontId="6" fillId="0" borderId="4" xfId="1" applyNumberFormat="1" applyFont="1" applyBorder="1" applyAlignment="1">
      <alignment horizontal="left" vertical="top" wrapText="1" readingOrder="1"/>
    </xf>
    <xf numFmtId="165" fontId="6" fillId="0" borderId="4" xfId="1" applyNumberFormat="1" applyFont="1" applyBorder="1" applyAlignment="1">
      <alignment horizontal="right" vertical="top" wrapText="1" readingOrder="1"/>
    </xf>
    <xf numFmtId="0" fontId="7" fillId="0" borderId="4" xfId="1" applyFont="1" applyBorder="1" applyAlignment="1">
      <alignment vertical="top" wrapText="1" readingOrder="1"/>
    </xf>
    <xf numFmtId="0" fontId="7" fillId="0" borderId="4" xfId="1" applyFont="1" applyBorder="1" applyAlignment="1">
      <alignment horizontal="left" vertical="top" wrapText="1" readingOrder="1"/>
    </xf>
    <xf numFmtId="165" fontId="7" fillId="0" borderId="4" xfId="1" applyNumberFormat="1" applyFont="1" applyBorder="1" applyAlignment="1">
      <alignment vertical="top" wrapText="1" readingOrder="1"/>
    </xf>
    <xf numFmtId="0" fontId="6" fillId="0" borderId="2" xfId="1" applyFont="1" applyBorder="1" applyAlignment="1">
      <alignment vertical="top" wrapText="1" readingOrder="1"/>
    </xf>
    <xf numFmtId="0" fontId="3" fillId="0" borderId="0" xfId="1" applyFont="1"/>
    <xf numFmtId="0" fontId="6" fillId="0" borderId="2" xfId="1" applyNumberFormat="1" applyFont="1" applyFill="1" applyBorder="1" applyAlignment="1">
      <alignment vertical="top" wrapText="1" readingOrder="1"/>
    </xf>
    <xf numFmtId="0" fontId="8" fillId="0" borderId="1" xfId="1" applyFont="1" applyBorder="1" applyAlignment="1">
      <alignment vertical="top" wrapText="1" readingOrder="1"/>
    </xf>
    <xf numFmtId="0" fontId="3" fillId="0" borderId="0" xfId="1" applyFont="1"/>
    <xf numFmtId="0" fontId="7" fillId="0" borderId="2" xfId="1" applyFont="1" applyBorder="1" applyAlignment="1">
      <alignment horizontal="center" vertical="top" wrapText="1" readingOrder="1"/>
    </xf>
    <xf numFmtId="0" fontId="3" fillId="0" borderId="3" xfId="1" applyFont="1" applyBorder="1" applyAlignment="1">
      <alignment vertical="top" wrapText="1"/>
    </xf>
    <xf numFmtId="0" fontId="3" fillId="0" borderId="4" xfId="1" applyFont="1" applyBorder="1" applyAlignment="1">
      <alignment vertical="top" wrapText="1"/>
    </xf>
    <xf numFmtId="0" fontId="3" fillId="0" borderId="1" xfId="1" applyFont="1" applyBorder="1" applyAlignment="1">
      <alignment vertical="top" wrapText="1"/>
    </xf>
    <xf numFmtId="0" fontId="7" fillId="2" borderId="5" xfId="1" applyFont="1" applyFill="1" applyBorder="1" applyAlignment="1">
      <alignment horizontal="center" vertical="top" wrapText="1" readingOrder="1"/>
    </xf>
    <xf numFmtId="0" fontId="3" fillId="0" borderId="6" xfId="1" applyFont="1" applyBorder="1" applyAlignment="1">
      <alignment vertical="top" wrapText="1"/>
    </xf>
    <xf numFmtId="0" fontId="6" fillId="0" borderId="2" xfId="1" applyFont="1" applyBorder="1" applyAlignment="1">
      <alignment wrapText="1" readingOrder="1"/>
    </xf>
    <xf numFmtId="0" fontId="6" fillId="0" borderId="2" xfId="1" applyFont="1" applyBorder="1" applyAlignment="1">
      <alignment vertical="top" wrapText="1" readingOrder="1"/>
    </xf>
    <xf numFmtId="0" fontId="3" fillId="0" borderId="7" xfId="1" applyFont="1" applyBorder="1" applyAlignment="1">
      <alignment vertical="top" wrapText="1"/>
    </xf>
    <xf numFmtId="0" fontId="3" fillId="0" borderId="5" xfId="1" applyFont="1" applyBorder="1" applyAlignment="1">
      <alignment vertical="top" wrapText="1"/>
    </xf>
  </cellXfs>
  <cellStyles count="4">
    <cellStyle name="Comma 2" xfId="2" xr:uid="{8973B701-0741-418E-B5E1-7873A3FD519C}"/>
    <cellStyle name="Normal" xfId="0" builtinId="0"/>
    <cellStyle name="Normal 2" xfId="1" xr:uid="{7978EF46-5F56-457A-BFDB-14250A246234}"/>
    <cellStyle name="Normal 2 2" xfId="3" xr:uid="{B36B82E1-F65C-4254-8778-5AEBC41E48E1}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19050</xdr:rowOff>
        </xdr:from>
        <xdr:to>
          <xdr:col>5</xdr:col>
          <xdr:colOff>590550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RAW Payroll into Output 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ffrey Tefft" refreshedDate="45412.636156018518" createdVersion="6" refreshedVersion="6" minRefreshableVersion="3" recordCount="19" xr:uid="{7ABC2CAA-B7A1-498C-A184-AC388357274F}">
  <cacheSource type="worksheet">
    <worksheetSource ref="A1:AS20" sheet="Template"/>
  </cacheSource>
  <cacheFields count="45">
    <cacheField name="Department" numFmtId="0">
      <sharedItems containsNonDate="0" containsString="0" containsBlank="1" count="1">
        <m/>
      </sharedItems>
    </cacheField>
    <cacheField name="Employee" numFmtId="0">
      <sharedItems containsNonDate="0" containsString="0" containsBlank="1"/>
    </cacheField>
    <cacheField name="ID" numFmtId="0">
      <sharedItems containsNonDate="0" containsString="0" containsBlank="1"/>
    </cacheField>
    <cacheField name="Process" numFmtId="0">
      <sharedItems containsNonDate="0" containsString="0" containsBlank="1"/>
    </cacheField>
    <cacheField name="Chk Date" numFmtId="164">
      <sharedItems containsNonDate="0" containsString="0" containsBlank="1"/>
    </cacheField>
    <cacheField name="Chk/Vchr" numFmtId="0">
      <sharedItems containsNonDate="0" containsString="0" containsBlank="1"/>
    </cacheField>
    <cacheField name="Net" numFmtId="165">
      <sharedItems containsNonDate="0" containsString="0" containsBlank="1"/>
    </cacheField>
    <cacheField name="REG" numFmtId="0">
      <sharedItems containsNonDate="0" containsString="0" containsBlank="1"/>
    </cacheField>
    <cacheField name="SALRY" numFmtId="0">
      <sharedItems containsNonDate="0" containsString="0" containsBlank="1"/>
    </cacheField>
    <cacheField name="OT" numFmtId="0">
      <sharedItems containsNonDate="0" containsString="0" containsBlank="1"/>
    </cacheField>
    <cacheField name="401ER" numFmtId="0">
      <sharedItems containsNonDate="0" containsString="0" containsBlank="1"/>
    </cacheField>
    <cacheField name="BONUS" numFmtId="0">
      <sharedItems containsNonDate="0" containsString="0" containsBlank="1"/>
    </cacheField>
    <cacheField name="BRVMT" numFmtId="0">
      <sharedItems containsNonDate="0" containsString="0" containsBlank="1"/>
    </cacheField>
    <cacheField name="COMM" numFmtId="0">
      <sharedItems containsNonDate="0" containsString="0" containsBlank="1"/>
    </cacheField>
    <cacheField name="ERDEN" numFmtId="0">
      <sharedItems containsNonDate="0" containsString="0" containsBlank="1"/>
    </cacheField>
    <cacheField name="ERMED" numFmtId="0">
      <sharedItems containsNonDate="0" containsString="0" containsBlank="1"/>
    </cacheField>
    <cacheField name="ERVIS" numFmtId="0">
      <sharedItems containsNonDate="0" containsString="0" containsBlank="1"/>
    </cacheField>
    <cacheField name="ESICK" numFmtId="0">
      <sharedItems containsNonDate="0" containsString="0" containsBlank="1"/>
    </cacheField>
    <cacheField name="ETECH" numFmtId="165">
      <sharedItems containsNonDate="0" containsString="0" containsBlank="1"/>
    </cacheField>
    <cacheField name="FLOAT" numFmtId="0">
      <sharedItems containsNonDate="0" containsString="0" containsBlank="1"/>
    </cacheField>
    <cacheField name="HOL" numFmtId="0">
      <sharedItems containsNonDate="0" containsString="0" containsBlank="1"/>
    </cacheField>
    <cacheField name="PTO" numFmtId="0">
      <sharedItems containsNonDate="0" containsString="0" containsBlank="1"/>
    </cacheField>
    <cacheField name="SUPME" numFmtId="0">
      <sharedItems containsNonDate="0" containsString="0" containsBlank="1"/>
    </cacheField>
    <cacheField name="VAC" numFmtId="0">
      <sharedItems containsNonDate="0" containsString="0" containsBlank="1"/>
    </cacheField>
    <cacheField name="WELL" numFmtId="0">
      <sharedItems containsNonDate="0" containsString="0" containsBlank="1"/>
    </cacheField>
    <cacheField name="Total Earnings" numFmtId="165">
      <sharedItems containsNonDate="0" containsString="0" containsBlank="1"/>
    </cacheField>
    <cacheField name="FITW" numFmtId="165">
      <sharedItems containsNonDate="0" containsString="0" containsBlank="1"/>
    </cacheField>
    <cacheField name="MED" numFmtId="165">
      <sharedItems containsNonDate="0" containsString="0" containsBlank="1"/>
    </cacheField>
    <cacheField name="SS" numFmtId="165">
      <sharedItems containsNonDate="0" containsString="0" containsBlank="1"/>
    </cacheField>
    <cacheField name="CO" numFmtId="0">
      <sharedItems containsNonDate="0" containsString="0" containsBlank="1"/>
    </cacheField>
    <cacheField name="VA" numFmtId="0">
      <sharedItems containsNonDate="0" containsString="0" containsBlank="1"/>
    </cacheField>
    <cacheField name="COPFL-EE" numFmtId="0">
      <sharedItems containsNonDate="0" containsString="0" containsBlank="1"/>
    </cacheField>
    <cacheField name="Total Taxes" numFmtId="165">
      <sharedItems containsNonDate="0" containsString="0" containsBlank="1"/>
    </cacheField>
    <cacheField name="MED-R" numFmtId="165">
      <sharedItems containsNonDate="0" containsString="0" containsBlank="1"/>
    </cacheField>
    <cacheField name="SS-R" numFmtId="165">
      <sharedItems containsNonDate="0" containsString="0" containsBlank="1"/>
    </cacheField>
    <cacheField name="COSUI" numFmtId="0">
      <sharedItems containsNonDate="0" containsString="0" containsBlank="1"/>
    </cacheField>
    <cacheField name="VASUI" numFmtId="0">
      <sharedItems containsNonDate="0" containsString="0" containsBlank="1"/>
    </cacheField>
    <cacheField name="COPFL-ER" numFmtId="0">
      <sharedItems containsNonDate="0" containsString="0" containsBlank="1"/>
    </cacheField>
    <cacheField name="Total Taxes ER" numFmtId="165">
      <sharedItems containsNonDate="0" containsString="0" containsBlank="1"/>
    </cacheField>
    <cacheField name="401K" numFmtId="0">
      <sharedItems containsNonDate="0" containsString="0" containsBlank="1"/>
    </cacheField>
    <cacheField name="4ROTH" numFmtId="0">
      <sharedItems containsNonDate="0" containsString="0" containsBlank="1"/>
    </cacheField>
    <cacheField name="DNTL" numFmtId="0">
      <sharedItems containsNonDate="0" containsString="0" containsBlank="1"/>
    </cacheField>
    <cacheField name="MDCL" numFmtId="0">
      <sharedItems containsNonDate="0" containsString="0" containsBlank="1"/>
    </cacheField>
    <cacheField name="VISON" numFmtId="0">
      <sharedItems containsNonDate="0" containsString="0" containsBlank="1"/>
    </cacheField>
    <cacheField name="SBAN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rey Tefft" refreshedDate="45412.638262615743" createdVersion="3" refreshedVersion="6" minRefreshableVersion="3" recordCount="17" xr:uid="{5190A2F1-42A7-4D99-A3CE-5A007102B368}">
  <cacheSource type="worksheet">
    <worksheetSource ref="A1:AT18" sheet="Output"/>
  </cacheSource>
  <cacheFields count="46">
    <cacheField name="Department" numFmtId="0">
      <sharedItems count="5">
        <s v="Administration"/>
        <s v="Education"/>
        <s v="Marketing"/>
        <s v="Member Services"/>
        <s v="Sales &amp; Partnerships"/>
      </sharedItems>
    </cacheField>
    <cacheField name="Employee" numFmtId="0">
      <sharedItems/>
    </cacheField>
    <cacheField name="ID" numFmtId="0">
      <sharedItems containsSemiMixedTypes="0" containsString="0" containsNumber="1" containsInteger="1" minValue="5862" maxValue="9587"/>
    </cacheField>
    <cacheField name="Process" numFmtId="0">
      <sharedItems containsSemiMixedTypes="0" containsString="0" containsNumber="1" containsInteger="1" minValue="2023083101" maxValue="2023083101"/>
    </cacheField>
    <cacheField name="Chk Date" numFmtId="164">
      <sharedItems containsSemiMixedTypes="0" containsNonDate="0" containsDate="1" containsString="0" minDate="2023-08-31T00:00:00" maxDate="2023-09-01T00:00:00"/>
    </cacheField>
    <cacheField name="Chk/Vchr" numFmtId="0">
      <sharedItems containsSemiMixedTypes="0" containsString="0" containsNumber="1" containsInteger="1" minValue="1700" maxValue="1716"/>
    </cacheField>
    <cacheField name="Net" numFmtId="165">
      <sharedItems containsSemiMixedTypes="0" containsString="0" containsNumber="1" containsInteger="1" minValue="1" maxValue="21"/>
    </cacheField>
    <cacheField name="REG" numFmtId="0">
      <sharedItems containsSemiMixedTypes="0" containsString="0" containsNumber="1" containsInteger="1" minValue="1" maxValue="21"/>
    </cacheField>
    <cacheField name="SALRY" numFmtId="0">
      <sharedItems containsSemiMixedTypes="0" containsString="0" containsNumber="1" containsInteger="1" minValue="1" maxValue="21"/>
    </cacheField>
    <cacheField name="OT" numFmtId="0">
      <sharedItems containsNonDate="0" containsString="0" containsBlank="1"/>
    </cacheField>
    <cacheField name="401ER" numFmtId="0">
      <sharedItems containsSemiMixedTypes="0" containsString="0" containsNumber="1" containsInteger="1" minValue="1" maxValue="21"/>
    </cacheField>
    <cacheField name="BONUS" numFmtId="0">
      <sharedItems containsNonDate="0" containsString="0" containsBlank="1"/>
    </cacheField>
    <cacheField name="BRVMT" numFmtId="0">
      <sharedItems containsNonDate="0" containsString="0" containsBlank="1"/>
    </cacheField>
    <cacheField name="COMM" numFmtId="0">
      <sharedItems containsNonDate="0" containsString="0" containsBlank="1"/>
    </cacheField>
    <cacheField name="ERDEN" numFmtId="0">
      <sharedItems containsSemiMixedTypes="0" containsString="0" containsNumber="1" containsInteger="1" minValue="1" maxValue="21"/>
    </cacheField>
    <cacheField name="ERMED" numFmtId="0">
      <sharedItems containsSemiMixedTypes="0" containsString="0" containsNumber="1" containsInteger="1" minValue="1" maxValue="21"/>
    </cacheField>
    <cacheField name="ERVIS" numFmtId="0">
      <sharedItems containsSemiMixedTypes="0" containsString="0" containsNumber="1" containsInteger="1" minValue="1" maxValue="21"/>
    </cacheField>
    <cacheField name="ESICK" numFmtId="0">
      <sharedItems containsSemiMixedTypes="0" containsString="0" containsNumber="1" containsInteger="1" minValue="1" maxValue="21"/>
    </cacheField>
    <cacheField name="ETECH" numFmtId="165">
      <sharedItems containsSemiMixedTypes="0" containsString="0" containsNumber="1" containsInteger="1" minValue="1" maxValue="21"/>
    </cacheField>
    <cacheField name="FLOAT" numFmtId="0">
      <sharedItems containsSemiMixedTypes="0" containsString="0" containsNumber="1" containsInteger="1" minValue="1" maxValue="21"/>
    </cacheField>
    <cacheField name="HOL" numFmtId="0">
      <sharedItems containsNonDate="0" containsString="0" containsBlank="1"/>
    </cacheField>
    <cacheField name="PTO" numFmtId="0">
      <sharedItems containsSemiMixedTypes="0" containsString="0" containsNumber="1" containsInteger="1" minValue="1" maxValue="21"/>
    </cacheField>
    <cacheField name="SUPME" numFmtId="0">
      <sharedItems containsSemiMixedTypes="0" containsString="0" containsNumber="1" containsInteger="1" minValue="1" maxValue="21"/>
    </cacheField>
    <cacheField name="VAC" numFmtId="0">
      <sharedItems containsSemiMixedTypes="0" containsString="0" containsNumber="1" containsInteger="1" minValue="1" maxValue="21"/>
    </cacheField>
    <cacheField name="WELL" numFmtId="0">
      <sharedItems containsSemiMixedTypes="0" containsString="0" containsNumber="1" containsInteger="1" minValue="1" maxValue="21"/>
    </cacheField>
    <cacheField name="Total Earnings" numFmtId="165">
      <sharedItems containsSemiMixedTypes="0" containsString="0" containsNumber="1" containsInteger="1" minValue="1" maxValue="21"/>
    </cacheField>
    <cacheField name="FITW" numFmtId="165">
      <sharedItems containsSemiMixedTypes="0" containsString="0" containsNumber="1" containsInteger="1" minValue="1" maxValue="21"/>
    </cacheField>
    <cacheField name="MED" numFmtId="165">
      <sharedItems containsSemiMixedTypes="0" containsString="0" containsNumber="1" containsInteger="1" minValue="1" maxValue="21"/>
    </cacheField>
    <cacheField name="SS" numFmtId="165">
      <sharedItems containsSemiMixedTypes="0" containsString="0" containsNumber="1" containsInteger="1" minValue="1" maxValue="21"/>
    </cacheField>
    <cacheField name="CO" numFmtId="0">
      <sharedItems containsSemiMixedTypes="0" containsString="0" containsNumber="1" containsInteger="1" minValue="1" maxValue="21"/>
    </cacheField>
    <cacheField name="VA" numFmtId="0">
      <sharedItems containsSemiMixedTypes="0" containsString="0" containsNumber="1" containsInteger="1" minValue="1" maxValue="21"/>
    </cacheField>
    <cacheField name="COPFL-EE" numFmtId="0">
      <sharedItems containsSemiMixedTypes="0" containsString="0" containsNumber="1" containsInteger="1" minValue="1" maxValue="21"/>
    </cacheField>
    <cacheField name="Total Taxes" numFmtId="165">
      <sharedItems containsSemiMixedTypes="0" containsString="0" containsNumber="1" containsInteger="1" minValue="1" maxValue="21"/>
    </cacheField>
    <cacheField name="MED-R" numFmtId="165">
      <sharedItems containsSemiMixedTypes="0" containsString="0" containsNumber="1" containsInteger="1" minValue="1" maxValue="21"/>
    </cacheField>
    <cacheField name="SS-R" numFmtId="165">
      <sharedItems containsSemiMixedTypes="0" containsString="0" containsNumber="1" containsInteger="1" minValue="1" maxValue="21"/>
    </cacheField>
    <cacheField name="COSUI" numFmtId="0">
      <sharedItems containsSemiMixedTypes="0" containsString="0" containsNumber="1" containsInteger="1" minValue="1" maxValue="21"/>
    </cacheField>
    <cacheField name="VASUI" numFmtId="0">
      <sharedItems containsSemiMixedTypes="0" containsString="0" containsNumber="1" containsInteger="1" minValue="1" maxValue="21"/>
    </cacheField>
    <cacheField name="COPFL-ER" numFmtId="0">
      <sharedItems containsSemiMixedTypes="0" containsString="0" containsNumber="1" containsInteger="1" minValue="1" maxValue="21"/>
    </cacheField>
    <cacheField name="Total Taxes ER" numFmtId="165">
      <sharedItems containsSemiMixedTypes="0" containsString="0" containsNumber="1" containsInteger="1" minValue="1" maxValue="21"/>
    </cacheField>
    <cacheField name="401K" numFmtId="0">
      <sharedItems containsSemiMixedTypes="0" containsString="0" containsNumber="1" containsInteger="1" minValue="1" maxValue="21"/>
    </cacheField>
    <cacheField name="4ROTH" numFmtId="0">
      <sharedItems containsSemiMixedTypes="0" containsString="0" containsNumber="1" containsInteger="1" minValue="1" maxValue="21"/>
    </cacheField>
    <cacheField name="DNTL" numFmtId="0">
      <sharedItems containsSemiMixedTypes="0" containsString="0" containsNumber="1" containsInteger="1" minValue="1" maxValue="21"/>
    </cacheField>
    <cacheField name="MDCL" numFmtId="0">
      <sharedItems containsSemiMixedTypes="0" containsString="0" containsNumber="1" containsInteger="1" minValue="1" maxValue="21"/>
    </cacheField>
    <cacheField name="VISON" numFmtId="0">
      <sharedItems containsSemiMixedTypes="0" containsString="0" containsNumber="1" containsInteger="1" minValue="1" maxValue="21"/>
    </cacheField>
    <cacheField name="SBANK" numFmtId="0">
      <sharedItems containsSemiMixedTypes="0" containsString="0" containsNumber="1" containsInteger="1" minValue="1" maxValue="21"/>
    </cacheField>
    <cacheField name="Total Deductions" numFmtId="0">
      <sharedItems containsSemiMixedTypes="0" containsString="0" containsNumber="1" containsInteger="1" minValue="1" maxValue="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22B01-BBBD-4EDD-A3DD-6B643B969433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>
  <location ref="A26:D32" firstHeaderRow="0" firstDataRow="1" firstDataCol="1"/>
  <pivotFields count="46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Earnings" fld="25" baseField="0" baseItem="0"/>
    <dataField name="Sum of WELL" fld="24" baseField="0" baseItem="0"/>
    <dataField name="Sum of ETECH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03F95-2FFE-4DA1-B80A-3268319C8430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>
  <location ref="A26:D28" firstHeaderRow="0" firstDataRow="1" firstDataCol="1"/>
  <pivotFields count="45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 Earnings" fld="25" baseField="0" baseItem="0"/>
    <dataField name="Sum of WELL" fld="24" baseField="0" baseItem="0"/>
    <dataField name="Sum of ETECH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B8DB-8EE8-488E-9F77-3ABBEE67E860}">
  <sheetPr codeName="Sheet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yroll_Format">
                <anchor moveWithCells="1" sizeWithCells="1">
                  <from>
                    <xdr:col>1</xdr:col>
                    <xdr:colOff>9525</xdr:colOff>
                    <xdr:row>1</xdr:row>
                    <xdr:rowOff>19050</xdr:rowOff>
                  </from>
                  <to>
                    <xdr:col>5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A9596-07AF-442C-B431-84F7CA607938}">
  <sheetPr codeName="Sheet6"/>
  <dimension ref="A1:AT64"/>
  <sheetViews>
    <sheetView showGridLines="0" tabSelected="1" workbookViewId="0">
      <selection activeCell="I46" sqref="I46"/>
    </sheetView>
  </sheetViews>
  <sheetFormatPr defaultRowHeight="15" x14ac:dyDescent="0.25"/>
  <cols>
    <col min="1" max="1" width="19.28515625" style="29" bestFit="1" customWidth="1"/>
    <col min="2" max="2" width="20.140625" style="29" bestFit="1" customWidth="1"/>
    <col min="3" max="3" width="12.28515625" style="29" bestFit="1" customWidth="1"/>
    <col min="4" max="4" width="13.140625" style="29" bestFit="1" customWidth="1"/>
    <col min="5" max="5" width="11.28515625" style="29" customWidth="1"/>
    <col min="6" max="6" width="11.5703125" style="29" customWidth="1"/>
    <col min="7" max="7" width="8.7109375" style="29" customWidth="1"/>
    <col min="8" max="8" width="6.85546875" style="29" customWidth="1"/>
    <col min="9" max="10" width="7.42578125" style="29" bestFit="1" customWidth="1"/>
    <col min="11" max="25" width="6.85546875" style="29" customWidth="1"/>
    <col min="26" max="26" width="8.5703125" style="29" customWidth="1"/>
    <col min="27" max="32" width="6.85546875" style="29" customWidth="1"/>
    <col min="33" max="33" width="11" style="29" customWidth="1"/>
    <col min="34" max="46" width="6.85546875" style="29" customWidth="1"/>
    <col min="47" max="16384" width="9.140625" style="29"/>
  </cols>
  <sheetData>
    <row r="1" spans="1:46" ht="27" x14ac:dyDescent="0.25">
      <c r="A1" s="12" t="s">
        <v>40</v>
      </c>
      <c r="B1" s="12" t="s">
        <v>42</v>
      </c>
      <c r="C1" s="12" t="s">
        <v>43</v>
      </c>
      <c r="D1" s="12" t="s">
        <v>44</v>
      </c>
      <c r="E1" s="12" t="s">
        <v>45</v>
      </c>
      <c r="F1" s="12" t="s">
        <v>46</v>
      </c>
      <c r="G1" s="13" t="s">
        <v>47</v>
      </c>
      <c r="H1" s="14" t="s">
        <v>5</v>
      </c>
      <c r="I1" s="14" t="s">
        <v>6</v>
      </c>
      <c r="J1" s="14" t="s">
        <v>121</v>
      </c>
      <c r="K1" s="14" t="s">
        <v>7</v>
      </c>
      <c r="L1" s="14" t="s">
        <v>122</v>
      </c>
      <c r="M1" s="14" t="s">
        <v>123</v>
      </c>
      <c r="N1" s="14" t="s">
        <v>111</v>
      </c>
      <c r="O1" s="14" t="s">
        <v>8</v>
      </c>
      <c r="P1" s="14" t="s">
        <v>9</v>
      </c>
      <c r="Q1" s="14" t="s">
        <v>10</v>
      </c>
      <c r="R1" s="14" t="s">
        <v>11</v>
      </c>
      <c r="S1" s="14" t="s">
        <v>12</v>
      </c>
      <c r="T1" s="14" t="s">
        <v>13</v>
      </c>
      <c r="U1" s="14" t="s">
        <v>110</v>
      </c>
      <c r="V1" s="14" t="s">
        <v>14</v>
      </c>
      <c r="W1" s="14" t="s">
        <v>16</v>
      </c>
      <c r="X1" s="14" t="s">
        <v>17</v>
      </c>
      <c r="Y1" s="14" t="s">
        <v>18</v>
      </c>
      <c r="Z1" s="15" t="s">
        <v>19</v>
      </c>
      <c r="AA1" s="14" t="s">
        <v>20</v>
      </c>
      <c r="AB1" s="14" t="s">
        <v>21</v>
      </c>
      <c r="AC1" s="14" t="s">
        <v>22</v>
      </c>
      <c r="AD1" s="14" t="s">
        <v>23</v>
      </c>
      <c r="AE1" s="14" t="s">
        <v>24</v>
      </c>
      <c r="AF1" s="14" t="s">
        <v>25</v>
      </c>
      <c r="AG1" s="15" t="s">
        <v>26</v>
      </c>
      <c r="AH1" s="14" t="s">
        <v>27</v>
      </c>
      <c r="AI1" s="14" t="s">
        <v>28</v>
      </c>
      <c r="AJ1" s="14" t="s">
        <v>29</v>
      </c>
      <c r="AK1" s="14" t="s">
        <v>30</v>
      </c>
      <c r="AL1" s="14" t="s">
        <v>31</v>
      </c>
      <c r="AM1" s="15" t="s">
        <v>32</v>
      </c>
      <c r="AN1" s="14" t="s">
        <v>33</v>
      </c>
      <c r="AO1" s="14" t="s">
        <v>34</v>
      </c>
      <c r="AP1" s="14" t="s">
        <v>35</v>
      </c>
      <c r="AQ1" s="14" t="s">
        <v>36</v>
      </c>
      <c r="AR1" s="14" t="s">
        <v>37</v>
      </c>
      <c r="AS1" s="14" t="s">
        <v>15</v>
      </c>
      <c r="AT1" s="14" t="s">
        <v>38</v>
      </c>
    </row>
    <row r="2" spans="1:46" x14ac:dyDescent="0.25">
      <c r="A2" s="30" t="s">
        <v>51</v>
      </c>
      <c r="B2" s="28" t="s">
        <v>124</v>
      </c>
      <c r="C2" s="28">
        <v>9581</v>
      </c>
      <c r="D2" s="18">
        <v>2023083101</v>
      </c>
      <c r="E2" s="19">
        <v>45169</v>
      </c>
      <c r="F2" s="18">
        <v>1700</v>
      </c>
      <c r="G2" s="20">
        <v>1</v>
      </c>
      <c r="H2" s="10">
        <v>1</v>
      </c>
      <c r="I2" s="20">
        <v>1</v>
      </c>
      <c r="J2" s="20"/>
      <c r="K2" s="20">
        <v>1</v>
      </c>
      <c r="L2" s="20"/>
      <c r="M2" s="20"/>
      <c r="N2" s="20"/>
      <c r="O2" s="20">
        <v>1</v>
      </c>
      <c r="P2" s="20">
        <v>1</v>
      </c>
      <c r="Q2" s="20">
        <v>1</v>
      </c>
      <c r="R2" s="10">
        <v>1</v>
      </c>
      <c r="S2" s="20">
        <v>1</v>
      </c>
      <c r="T2" s="10">
        <v>1</v>
      </c>
      <c r="U2" s="10"/>
      <c r="V2" s="10">
        <v>1</v>
      </c>
      <c r="W2" s="10">
        <v>1</v>
      </c>
      <c r="X2" s="10">
        <v>1</v>
      </c>
      <c r="Y2" s="10">
        <v>1</v>
      </c>
      <c r="Z2" s="20">
        <v>1</v>
      </c>
      <c r="AA2" s="20">
        <v>1</v>
      </c>
      <c r="AB2" s="20">
        <v>1</v>
      </c>
      <c r="AC2" s="20">
        <v>1</v>
      </c>
      <c r="AD2" s="20">
        <v>1</v>
      </c>
      <c r="AE2" s="10">
        <v>1</v>
      </c>
      <c r="AF2" s="20">
        <v>1</v>
      </c>
      <c r="AG2" s="20">
        <v>1</v>
      </c>
      <c r="AH2" s="20">
        <v>1</v>
      </c>
      <c r="AI2" s="20">
        <v>1</v>
      </c>
      <c r="AJ2" s="20">
        <v>1</v>
      </c>
      <c r="AK2" s="10">
        <v>1</v>
      </c>
      <c r="AL2" s="20">
        <v>1</v>
      </c>
      <c r="AM2" s="20">
        <v>1</v>
      </c>
      <c r="AN2" s="20">
        <v>1</v>
      </c>
      <c r="AO2" s="10">
        <v>1</v>
      </c>
      <c r="AP2" s="20">
        <v>1</v>
      </c>
      <c r="AQ2" s="20">
        <v>1</v>
      </c>
      <c r="AR2" s="20">
        <v>1</v>
      </c>
      <c r="AS2" s="20">
        <v>1</v>
      </c>
      <c r="AT2" s="20">
        <v>1</v>
      </c>
    </row>
    <row r="3" spans="1:46" x14ac:dyDescent="0.25">
      <c r="A3" s="30" t="s">
        <v>51</v>
      </c>
      <c r="B3" s="28" t="s">
        <v>125</v>
      </c>
      <c r="C3" s="28">
        <v>9579</v>
      </c>
      <c r="D3" s="18">
        <v>2023083101</v>
      </c>
      <c r="E3" s="19">
        <v>45169</v>
      </c>
      <c r="F3" s="18">
        <v>1701</v>
      </c>
      <c r="G3" s="20">
        <v>2</v>
      </c>
      <c r="H3" s="10">
        <v>2</v>
      </c>
      <c r="I3" s="20">
        <v>2</v>
      </c>
      <c r="J3" s="20"/>
      <c r="K3" s="20">
        <v>2</v>
      </c>
      <c r="L3" s="20"/>
      <c r="M3" s="20"/>
      <c r="N3" s="20"/>
      <c r="O3" s="20">
        <v>2</v>
      </c>
      <c r="P3" s="20">
        <v>2</v>
      </c>
      <c r="Q3" s="20">
        <v>2</v>
      </c>
      <c r="R3" s="10">
        <v>2</v>
      </c>
      <c r="S3" s="20">
        <v>2</v>
      </c>
      <c r="T3" s="10">
        <v>2</v>
      </c>
      <c r="U3" s="10"/>
      <c r="V3" s="10">
        <v>2</v>
      </c>
      <c r="W3" s="10">
        <v>2</v>
      </c>
      <c r="X3" s="10">
        <v>2</v>
      </c>
      <c r="Y3" s="10">
        <v>2</v>
      </c>
      <c r="Z3" s="20">
        <v>2</v>
      </c>
      <c r="AA3" s="20">
        <v>2</v>
      </c>
      <c r="AB3" s="20">
        <v>2</v>
      </c>
      <c r="AC3" s="20">
        <v>2</v>
      </c>
      <c r="AD3" s="20">
        <v>2</v>
      </c>
      <c r="AE3" s="10">
        <v>2</v>
      </c>
      <c r="AF3" s="20">
        <v>2</v>
      </c>
      <c r="AG3" s="20">
        <v>2</v>
      </c>
      <c r="AH3" s="20">
        <v>2</v>
      </c>
      <c r="AI3" s="20">
        <v>2</v>
      </c>
      <c r="AJ3" s="20">
        <v>2</v>
      </c>
      <c r="AK3" s="10">
        <v>2</v>
      </c>
      <c r="AL3" s="20">
        <v>2</v>
      </c>
      <c r="AM3" s="20">
        <v>2</v>
      </c>
      <c r="AN3" s="10">
        <v>2</v>
      </c>
      <c r="AO3" s="20">
        <v>2</v>
      </c>
      <c r="AP3" s="20">
        <v>2</v>
      </c>
      <c r="AQ3" s="10">
        <v>2</v>
      </c>
      <c r="AR3" s="20">
        <v>2</v>
      </c>
      <c r="AS3" s="20">
        <v>2</v>
      </c>
      <c r="AT3" s="20">
        <v>2</v>
      </c>
    </row>
    <row r="4" spans="1:46" x14ac:dyDescent="0.25">
      <c r="A4" s="30" t="s">
        <v>51</v>
      </c>
      <c r="B4" s="28" t="s">
        <v>126</v>
      </c>
      <c r="C4" s="28">
        <v>9575</v>
      </c>
      <c r="D4" s="18">
        <v>2023083101</v>
      </c>
      <c r="E4" s="19">
        <v>45169</v>
      </c>
      <c r="F4" s="18">
        <v>1702</v>
      </c>
      <c r="G4" s="20">
        <v>3</v>
      </c>
      <c r="H4" s="10">
        <v>3</v>
      </c>
      <c r="I4" s="20">
        <v>3</v>
      </c>
      <c r="J4" s="20"/>
      <c r="K4" s="20">
        <v>3</v>
      </c>
      <c r="L4" s="20"/>
      <c r="M4" s="20"/>
      <c r="N4" s="20"/>
      <c r="O4" s="20">
        <v>3</v>
      </c>
      <c r="P4" s="20">
        <v>3</v>
      </c>
      <c r="Q4" s="20">
        <v>3</v>
      </c>
      <c r="R4" s="10">
        <v>3</v>
      </c>
      <c r="S4" s="20">
        <v>3</v>
      </c>
      <c r="T4" s="10">
        <v>3</v>
      </c>
      <c r="U4" s="10"/>
      <c r="V4" s="10">
        <v>3</v>
      </c>
      <c r="W4" s="10">
        <v>3</v>
      </c>
      <c r="X4" s="10">
        <v>3</v>
      </c>
      <c r="Y4" s="10">
        <v>3</v>
      </c>
      <c r="Z4" s="20">
        <v>3</v>
      </c>
      <c r="AA4" s="20">
        <v>3</v>
      </c>
      <c r="AB4" s="20">
        <v>3</v>
      </c>
      <c r="AC4" s="20">
        <v>3</v>
      </c>
      <c r="AD4" s="20">
        <v>3</v>
      </c>
      <c r="AE4" s="10">
        <v>3</v>
      </c>
      <c r="AF4" s="20">
        <v>3</v>
      </c>
      <c r="AG4" s="20">
        <v>3</v>
      </c>
      <c r="AH4" s="20">
        <v>3</v>
      </c>
      <c r="AI4" s="20">
        <v>3</v>
      </c>
      <c r="AJ4" s="20">
        <v>3</v>
      </c>
      <c r="AK4" s="10">
        <v>3</v>
      </c>
      <c r="AL4" s="20">
        <v>3</v>
      </c>
      <c r="AM4" s="20">
        <v>3</v>
      </c>
      <c r="AN4" s="20">
        <v>3</v>
      </c>
      <c r="AO4" s="10">
        <v>3</v>
      </c>
      <c r="AP4" s="20">
        <v>3</v>
      </c>
      <c r="AQ4" s="20">
        <v>3</v>
      </c>
      <c r="AR4" s="20">
        <v>3</v>
      </c>
      <c r="AS4" s="20">
        <v>3</v>
      </c>
      <c r="AT4" s="20">
        <v>3</v>
      </c>
    </row>
    <row r="5" spans="1:46" x14ac:dyDescent="0.25">
      <c r="A5" s="30" t="s">
        <v>57</v>
      </c>
      <c r="B5" s="28" t="s">
        <v>127</v>
      </c>
      <c r="C5" s="28">
        <v>7315</v>
      </c>
      <c r="D5" s="18">
        <v>2023083101</v>
      </c>
      <c r="E5" s="19">
        <v>45169</v>
      </c>
      <c r="F5" s="18">
        <v>1710</v>
      </c>
      <c r="G5" s="20">
        <v>5</v>
      </c>
      <c r="H5" s="10">
        <v>5</v>
      </c>
      <c r="I5" s="20">
        <v>5</v>
      </c>
      <c r="J5" s="20"/>
      <c r="K5" s="20">
        <v>5</v>
      </c>
      <c r="L5" s="20"/>
      <c r="M5" s="20"/>
      <c r="N5" s="20"/>
      <c r="O5" s="10">
        <v>5</v>
      </c>
      <c r="P5" s="10">
        <v>5</v>
      </c>
      <c r="Q5" s="10">
        <v>5</v>
      </c>
      <c r="R5" s="10">
        <v>5</v>
      </c>
      <c r="S5" s="20">
        <v>5</v>
      </c>
      <c r="T5" s="10">
        <v>5</v>
      </c>
      <c r="U5" s="10"/>
      <c r="V5" s="10">
        <v>5</v>
      </c>
      <c r="W5" s="10">
        <v>5</v>
      </c>
      <c r="X5" s="10">
        <v>5</v>
      </c>
      <c r="Y5" s="10">
        <v>5</v>
      </c>
      <c r="Z5" s="20">
        <v>5</v>
      </c>
      <c r="AA5" s="20">
        <v>5</v>
      </c>
      <c r="AB5" s="20">
        <v>5</v>
      </c>
      <c r="AC5" s="20">
        <v>5</v>
      </c>
      <c r="AD5" s="20">
        <v>5</v>
      </c>
      <c r="AE5" s="10">
        <v>5</v>
      </c>
      <c r="AF5" s="20">
        <v>5</v>
      </c>
      <c r="AG5" s="20">
        <v>5</v>
      </c>
      <c r="AH5" s="20">
        <v>5</v>
      </c>
      <c r="AI5" s="20">
        <v>5</v>
      </c>
      <c r="AJ5" s="20">
        <v>5</v>
      </c>
      <c r="AK5" s="10">
        <v>5</v>
      </c>
      <c r="AL5" s="20">
        <v>5</v>
      </c>
      <c r="AM5" s="20">
        <v>5</v>
      </c>
      <c r="AN5" s="20">
        <v>5</v>
      </c>
      <c r="AO5" s="10">
        <v>5</v>
      </c>
      <c r="AP5" s="10">
        <v>5</v>
      </c>
      <c r="AQ5" s="10">
        <v>5</v>
      </c>
      <c r="AR5" s="10">
        <v>5</v>
      </c>
      <c r="AS5" s="10">
        <v>5</v>
      </c>
      <c r="AT5" s="10">
        <v>5</v>
      </c>
    </row>
    <row r="6" spans="1:46" x14ac:dyDescent="0.25">
      <c r="A6" s="30" t="s">
        <v>57</v>
      </c>
      <c r="B6" s="28" t="s">
        <v>128</v>
      </c>
      <c r="C6" s="28">
        <v>9587</v>
      </c>
      <c r="D6" s="18">
        <v>2023083101</v>
      </c>
      <c r="E6" s="19">
        <v>45169</v>
      </c>
      <c r="F6" s="18">
        <v>1711</v>
      </c>
      <c r="G6" s="20">
        <v>6</v>
      </c>
      <c r="H6" s="10">
        <v>6</v>
      </c>
      <c r="I6" s="20">
        <v>6</v>
      </c>
      <c r="J6" s="20"/>
      <c r="K6" s="10">
        <v>6</v>
      </c>
      <c r="L6" s="10"/>
      <c r="M6" s="10"/>
      <c r="N6" s="10"/>
      <c r="O6" s="10">
        <v>6</v>
      </c>
      <c r="P6" s="10">
        <v>6</v>
      </c>
      <c r="Q6" s="10">
        <v>6</v>
      </c>
      <c r="R6" s="10">
        <v>6</v>
      </c>
      <c r="S6" s="20">
        <v>6</v>
      </c>
      <c r="T6" s="10">
        <v>6</v>
      </c>
      <c r="U6" s="10"/>
      <c r="V6" s="10">
        <v>6</v>
      </c>
      <c r="W6" s="10">
        <v>6</v>
      </c>
      <c r="X6" s="10">
        <v>6</v>
      </c>
      <c r="Y6" s="10">
        <v>6</v>
      </c>
      <c r="Z6" s="20">
        <v>6</v>
      </c>
      <c r="AA6" s="20">
        <v>6</v>
      </c>
      <c r="AB6" s="20">
        <v>6</v>
      </c>
      <c r="AC6" s="20">
        <v>6</v>
      </c>
      <c r="AD6" s="20">
        <v>6</v>
      </c>
      <c r="AE6" s="10">
        <v>6</v>
      </c>
      <c r="AF6" s="20">
        <v>6</v>
      </c>
      <c r="AG6" s="20">
        <v>6</v>
      </c>
      <c r="AH6" s="20">
        <v>6</v>
      </c>
      <c r="AI6" s="20">
        <v>6</v>
      </c>
      <c r="AJ6" s="20">
        <v>6</v>
      </c>
      <c r="AK6" s="10">
        <v>6</v>
      </c>
      <c r="AL6" s="20">
        <v>6</v>
      </c>
      <c r="AM6" s="20">
        <v>6</v>
      </c>
      <c r="AN6" s="10">
        <v>6</v>
      </c>
      <c r="AO6" s="10">
        <v>6</v>
      </c>
      <c r="AP6" s="10">
        <v>6</v>
      </c>
      <c r="AQ6" s="10">
        <v>6</v>
      </c>
      <c r="AR6" s="10">
        <v>6</v>
      </c>
      <c r="AS6" s="10">
        <v>6</v>
      </c>
      <c r="AT6" s="10">
        <v>6</v>
      </c>
    </row>
    <row r="7" spans="1:46" x14ac:dyDescent="0.25">
      <c r="A7" s="30" t="s">
        <v>57</v>
      </c>
      <c r="B7" s="28" t="s">
        <v>129</v>
      </c>
      <c r="C7" s="28">
        <v>9582</v>
      </c>
      <c r="D7" s="18">
        <v>2023083101</v>
      </c>
      <c r="E7" s="19">
        <v>45169</v>
      </c>
      <c r="F7" s="18">
        <v>1712</v>
      </c>
      <c r="G7" s="20">
        <v>7</v>
      </c>
      <c r="H7" s="10">
        <v>7</v>
      </c>
      <c r="I7" s="20">
        <v>7</v>
      </c>
      <c r="J7" s="20"/>
      <c r="K7" s="10">
        <v>7</v>
      </c>
      <c r="L7" s="10"/>
      <c r="M7" s="10"/>
      <c r="N7" s="10"/>
      <c r="O7" s="20">
        <v>7</v>
      </c>
      <c r="P7" s="20">
        <v>7</v>
      </c>
      <c r="Q7" s="20">
        <v>7</v>
      </c>
      <c r="R7" s="10">
        <v>7</v>
      </c>
      <c r="S7" s="20">
        <v>7</v>
      </c>
      <c r="T7" s="10">
        <v>7</v>
      </c>
      <c r="U7" s="10"/>
      <c r="V7" s="10">
        <v>7</v>
      </c>
      <c r="W7" s="10">
        <v>7</v>
      </c>
      <c r="X7" s="10">
        <v>7</v>
      </c>
      <c r="Y7" s="20">
        <v>7</v>
      </c>
      <c r="Z7" s="20">
        <v>7</v>
      </c>
      <c r="AA7" s="20">
        <v>7</v>
      </c>
      <c r="AB7" s="20">
        <v>7</v>
      </c>
      <c r="AC7" s="20">
        <v>7</v>
      </c>
      <c r="AD7" s="20">
        <v>7</v>
      </c>
      <c r="AE7" s="10">
        <v>7</v>
      </c>
      <c r="AF7" s="20">
        <v>7</v>
      </c>
      <c r="AG7" s="20">
        <v>7</v>
      </c>
      <c r="AH7" s="20">
        <v>7</v>
      </c>
      <c r="AI7" s="20">
        <v>7</v>
      </c>
      <c r="AJ7" s="20">
        <v>7</v>
      </c>
      <c r="AK7" s="10">
        <v>7</v>
      </c>
      <c r="AL7" s="20">
        <v>7</v>
      </c>
      <c r="AM7" s="20">
        <v>7</v>
      </c>
      <c r="AN7" s="10">
        <v>7</v>
      </c>
      <c r="AO7" s="10">
        <v>7</v>
      </c>
      <c r="AP7" s="20">
        <v>7</v>
      </c>
      <c r="AQ7" s="20">
        <v>7</v>
      </c>
      <c r="AR7" s="20">
        <v>7</v>
      </c>
      <c r="AS7" s="20">
        <v>7</v>
      </c>
      <c r="AT7" s="20">
        <v>7</v>
      </c>
    </row>
    <row r="8" spans="1:46" x14ac:dyDescent="0.25">
      <c r="A8" s="30" t="s">
        <v>57</v>
      </c>
      <c r="B8" s="28" t="s">
        <v>131</v>
      </c>
      <c r="C8" s="28">
        <v>9585</v>
      </c>
      <c r="D8" s="18">
        <v>2023083101</v>
      </c>
      <c r="E8" s="19">
        <v>45169</v>
      </c>
      <c r="F8" s="18">
        <v>1713</v>
      </c>
      <c r="G8" s="20">
        <v>8</v>
      </c>
      <c r="H8" s="10">
        <v>8</v>
      </c>
      <c r="I8" s="20">
        <v>8</v>
      </c>
      <c r="J8" s="20"/>
      <c r="K8" s="20">
        <v>8</v>
      </c>
      <c r="L8" s="20"/>
      <c r="M8" s="20"/>
      <c r="N8" s="20"/>
      <c r="O8" s="20">
        <v>8</v>
      </c>
      <c r="P8" s="10">
        <v>8</v>
      </c>
      <c r="Q8" s="20">
        <v>8</v>
      </c>
      <c r="R8" s="10">
        <v>8</v>
      </c>
      <c r="S8" s="20">
        <v>8</v>
      </c>
      <c r="T8" s="10">
        <v>8</v>
      </c>
      <c r="U8" s="10"/>
      <c r="V8" s="10">
        <v>8</v>
      </c>
      <c r="W8" s="10">
        <v>8</v>
      </c>
      <c r="X8" s="10">
        <v>8</v>
      </c>
      <c r="Y8" s="10">
        <v>8</v>
      </c>
      <c r="Z8" s="20">
        <v>8</v>
      </c>
      <c r="AA8" s="20">
        <v>8</v>
      </c>
      <c r="AB8" s="20">
        <v>8</v>
      </c>
      <c r="AC8" s="20">
        <v>8</v>
      </c>
      <c r="AD8" s="10">
        <v>8</v>
      </c>
      <c r="AE8" s="20">
        <v>8</v>
      </c>
      <c r="AF8" s="10">
        <v>8</v>
      </c>
      <c r="AG8" s="20">
        <v>8</v>
      </c>
      <c r="AH8" s="20">
        <v>8</v>
      </c>
      <c r="AI8" s="20">
        <v>8</v>
      </c>
      <c r="AJ8" s="10">
        <v>8</v>
      </c>
      <c r="AK8" s="20">
        <v>8</v>
      </c>
      <c r="AL8" s="10">
        <v>8</v>
      </c>
      <c r="AM8" s="20">
        <v>8</v>
      </c>
      <c r="AN8" s="20">
        <v>8</v>
      </c>
      <c r="AO8" s="10">
        <v>8</v>
      </c>
      <c r="AP8" s="20">
        <v>8</v>
      </c>
      <c r="AQ8" s="10">
        <v>8</v>
      </c>
      <c r="AR8" s="20">
        <v>8</v>
      </c>
      <c r="AS8" s="20">
        <v>8</v>
      </c>
      <c r="AT8" s="20">
        <v>8</v>
      </c>
    </row>
    <row r="9" spans="1:46" x14ac:dyDescent="0.25">
      <c r="A9" s="30" t="s">
        <v>57</v>
      </c>
      <c r="B9" s="28" t="s">
        <v>132</v>
      </c>
      <c r="C9" s="28">
        <v>9573</v>
      </c>
      <c r="D9" s="18">
        <v>2023083101</v>
      </c>
      <c r="E9" s="19">
        <v>45169</v>
      </c>
      <c r="F9" s="18">
        <v>1714</v>
      </c>
      <c r="G9" s="20">
        <v>9</v>
      </c>
      <c r="H9" s="10">
        <v>9</v>
      </c>
      <c r="I9" s="20">
        <v>9</v>
      </c>
      <c r="J9" s="20"/>
      <c r="K9" s="20">
        <v>9</v>
      </c>
      <c r="L9" s="20"/>
      <c r="M9" s="20"/>
      <c r="N9" s="20"/>
      <c r="O9" s="20">
        <v>9</v>
      </c>
      <c r="P9" s="20">
        <v>9</v>
      </c>
      <c r="Q9" s="10">
        <v>9</v>
      </c>
      <c r="R9" s="10">
        <v>9</v>
      </c>
      <c r="S9" s="20">
        <v>9</v>
      </c>
      <c r="T9" s="10">
        <v>9</v>
      </c>
      <c r="U9" s="10"/>
      <c r="V9" s="10">
        <v>9</v>
      </c>
      <c r="W9" s="10">
        <v>9</v>
      </c>
      <c r="X9" s="10">
        <v>9</v>
      </c>
      <c r="Y9" s="10">
        <v>9</v>
      </c>
      <c r="Z9" s="20">
        <v>9</v>
      </c>
      <c r="AA9" s="20">
        <v>9</v>
      </c>
      <c r="AB9" s="20">
        <v>9</v>
      </c>
      <c r="AC9" s="20">
        <v>9</v>
      </c>
      <c r="AD9" s="20">
        <v>9</v>
      </c>
      <c r="AE9" s="10">
        <v>9</v>
      </c>
      <c r="AF9" s="20">
        <v>9</v>
      </c>
      <c r="AG9" s="20">
        <v>9</v>
      </c>
      <c r="AH9" s="20">
        <v>9</v>
      </c>
      <c r="AI9" s="20">
        <v>9</v>
      </c>
      <c r="AJ9" s="20">
        <v>9</v>
      </c>
      <c r="AK9" s="10">
        <v>9</v>
      </c>
      <c r="AL9" s="20">
        <v>9</v>
      </c>
      <c r="AM9" s="20">
        <v>9</v>
      </c>
      <c r="AN9" s="10">
        <v>9</v>
      </c>
      <c r="AO9" s="20">
        <v>9</v>
      </c>
      <c r="AP9" s="20">
        <v>9</v>
      </c>
      <c r="AQ9" s="10">
        <v>9</v>
      </c>
      <c r="AR9" s="10">
        <v>9</v>
      </c>
      <c r="AS9" s="10">
        <v>9</v>
      </c>
      <c r="AT9" s="10">
        <v>9</v>
      </c>
    </row>
    <row r="10" spans="1:46" x14ac:dyDescent="0.25">
      <c r="A10" s="30" t="s">
        <v>62</v>
      </c>
      <c r="B10" s="28" t="s">
        <v>133</v>
      </c>
      <c r="C10" s="28">
        <v>9583</v>
      </c>
      <c r="D10" s="18">
        <v>2023083101</v>
      </c>
      <c r="E10" s="19">
        <v>45169</v>
      </c>
      <c r="F10" s="18">
        <v>1703</v>
      </c>
      <c r="G10" s="20">
        <v>11</v>
      </c>
      <c r="H10" s="10">
        <v>11</v>
      </c>
      <c r="I10" s="20">
        <v>11</v>
      </c>
      <c r="J10" s="20"/>
      <c r="K10" s="20">
        <v>11</v>
      </c>
      <c r="L10" s="20"/>
      <c r="M10" s="20"/>
      <c r="N10" s="20"/>
      <c r="O10" s="20">
        <v>11</v>
      </c>
      <c r="P10" s="20">
        <v>11</v>
      </c>
      <c r="Q10" s="20">
        <v>11</v>
      </c>
      <c r="R10" s="10">
        <v>11</v>
      </c>
      <c r="S10" s="20">
        <v>11</v>
      </c>
      <c r="T10" s="10">
        <v>11</v>
      </c>
      <c r="U10" s="10"/>
      <c r="V10" s="10">
        <v>11</v>
      </c>
      <c r="W10" s="10">
        <v>11</v>
      </c>
      <c r="X10" s="10">
        <v>11</v>
      </c>
      <c r="Y10" s="10">
        <v>11</v>
      </c>
      <c r="Z10" s="20">
        <v>11</v>
      </c>
      <c r="AA10" s="20">
        <v>11</v>
      </c>
      <c r="AB10" s="20">
        <v>11</v>
      </c>
      <c r="AC10" s="20">
        <v>11</v>
      </c>
      <c r="AD10" s="20">
        <v>11</v>
      </c>
      <c r="AE10" s="10">
        <v>11</v>
      </c>
      <c r="AF10" s="20">
        <v>11</v>
      </c>
      <c r="AG10" s="20">
        <v>11</v>
      </c>
      <c r="AH10" s="20">
        <v>11</v>
      </c>
      <c r="AI10" s="20">
        <v>11</v>
      </c>
      <c r="AJ10" s="20">
        <v>11</v>
      </c>
      <c r="AK10" s="10">
        <v>11</v>
      </c>
      <c r="AL10" s="20">
        <v>11</v>
      </c>
      <c r="AM10" s="20">
        <v>11</v>
      </c>
      <c r="AN10" s="20">
        <v>11</v>
      </c>
      <c r="AO10" s="10">
        <v>11</v>
      </c>
      <c r="AP10" s="20">
        <v>11</v>
      </c>
      <c r="AQ10" s="20">
        <v>11</v>
      </c>
      <c r="AR10" s="20">
        <v>11</v>
      </c>
      <c r="AS10" s="20">
        <v>11</v>
      </c>
      <c r="AT10" s="20">
        <v>11</v>
      </c>
    </row>
    <row r="11" spans="1:46" x14ac:dyDescent="0.25">
      <c r="A11" s="30" t="s">
        <v>62</v>
      </c>
      <c r="B11" s="28" t="s">
        <v>134</v>
      </c>
      <c r="C11" s="28">
        <v>9584</v>
      </c>
      <c r="D11" s="18">
        <v>2023083101</v>
      </c>
      <c r="E11" s="19">
        <v>45169</v>
      </c>
      <c r="F11" s="18">
        <v>1704</v>
      </c>
      <c r="G11" s="20">
        <v>12</v>
      </c>
      <c r="H11" s="10">
        <v>12</v>
      </c>
      <c r="I11" s="20">
        <v>12</v>
      </c>
      <c r="J11" s="20"/>
      <c r="K11" s="20">
        <v>12</v>
      </c>
      <c r="L11" s="20"/>
      <c r="M11" s="20"/>
      <c r="N11" s="20"/>
      <c r="O11" s="20">
        <v>12</v>
      </c>
      <c r="P11" s="20">
        <v>12</v>
      </c>
      <c r="Q11" s="20">
        <v>12</v>
      </c>
      <c r="R11" s="10">
        <v>12</v>
      </c>
      <c r="S11" s="20">
        <v>12</v>
      </c>
      <c r="T11" s="10">
        <v>12</v>
      </c>
      <c r="U11" s="10"/>
      <c r="V11" s="10">
        <v>12</v>
      </c>
      <c r="W11" s="10">
        <v>12</v>
      </c>
      <c r="X11" s="10">
        <v>12</v>
      </c>
      <c r="Y11" s="10">
        <v>12</v>
      </c>
      <c r="Z11" s="20">
        <v>12</v>
      </c>
      <c r="AA11" s="20">
        <v>12</v>
      </c>
      <c r="AB11" s="20">
        <v>12</v>
      </c>
      <c r="AC11" s="20">
        <v>12</v>
      </c>
      <c r="AD11" s="20">
        <v>12</v>
      </c>
      <c r="AE11" s="10">
        <v>12</v>
      </c>
      <c r="AF11" s="20">
        <v>12</v>
      </c>
      <c r="AG11" s="20">
        <v>12</v>
      </c>
      <c r="AH11" s="20">
        <v>12</v>
      </c>
      <c r="AI11" s="20">
        <v>12</v>
      </c>
      <c r="AJ11" s="20">
        <v>12</v>
      </c>
      <c r="AK11" s="10">
        <v>12</v>
      </c>
      <c r="AL11" s="20">
        <v>12</v>
      </c>
      <c r="AM11" s="20">
        <v>12</v>
      </c>
      <c r="AN11" s="20">
        <v>12</v>
      </c>
      <c r="AO11" s="10">
        <v>12</v>
      </c>
      <c r="AP11" s="20">
        <v>12</v>
      </c>
      <c r="AQ11" s="20">
        <v>12</v>
      </c>
      <c r="AR11" s="20">
        <v>12</v>
      </c>
      <c r="AS11" s="20">
        <v>12</v>
      </c>
      <c r="AT11" s="20">
        <v>12</v>
      </c>
    </row>
    <row r="12" spans="1:46" x14ac:dyDescent="0.25">
      <c r="A12" s="30" t="s">
        <v>62</v>
      </c>
      <c r="B12" s="28" t="s">
        <v>135</v>
      </c>
      <c r="C12" s="28">
        <v>9586</v>
      </c>
      <c r="D12" s="18">
        <v>2023083101</v>
      </c>
      <c r="E12" s="19">
        <v>45169</v>
      </c>
      <c r="F12" s="18">
        <v>1705</v>
      </c>
      <c r="G12" s="20">
        <v>13</v>
      </c>
      <c r="H12" s="10">
        <v>13</v>
      </c>
      <c r="I12" s="20">
        <v>13</v>
      </c>
      <c r="J12" s="20"/>
      <c r="K12" s="10">
        <v>13</v>
      </c>
      <c r="L12" s="10"/>
      <c r="M12" s="10"/>
      <c r="N12" s="10"/>
      <c r="O12" s="10">
        <v>13</v>
      </c>
      <c r="P12" s="10">
        <v>13</v>
      </c>
      <c r="Q12" s="10">
        <v>13</v>
      </c>
      <c r="R12" s="10">
        <v>13</v>
      </c>
      <c r="S12" s="20">
        <v>13</v>
      </c>
      <c r="T12" s="10">
        <v>13</v>
      </c>
      <c r="U12" s="10"/>
      <c r="V12" s="10">
        <v>13</v>
      </c>
      <c r="W12" s="10">
        <v>13</v>
      </c>
      <c r="X12" s="10">
        <v>13</v>
      </c>
      <c r="Y12" s="10">
        <v>13</v>
      </c>
      <c r="Z12" s="20">
        <v>13</v>
      </c>
      <c r="AA12" s="20">
        <v>13</v>
      </c>
      <c r="AB12" s="20">
        <v>13</v>
      </c>
      <c r="AC12" s="20">
        <v>13</v>
      </c>
      <c r="AD12" s="20">
        <v>13</v>
      </c>
      <c r="AE12" s="10">
        <v>13</v>
      </c>
      <c r="AF12" s="20">
        <v>13</v>
      </c>
      <c r="AG12" s="20">
        <v>13</v>
      </c>
      <c r="AH12" s="20">
        <v>13</v>
      </c>
      <c r="AI12" s="20">
        <v>13</v>
      </c>
      <c r="AJ12" s="20">
        <v>13</v>
      </c>
      <c r="AK12" s="10">
        <v>13</v>
      </c>
      <c r="AL12" s="20">
        <v>13</v>
      </c>
      <c r="AM12" s="20">
        <v>13</v>
      </c>
      <c r="AN12" s="10">
        <v>13</v>
      </c>
      <c r="AO12" s="10">
        <v>13</v>
      </c>
      <c r="AP12" s="10">
        <v>13</v>
      </c>
      <c r="AQ12" s="10">
        <v>13</v>
      </c>
      <c r="AR12" s="10">
        <v>13</v>
      </c>
      <c r="AS12" s="10">
        <v>13</v>
      </c>
      <c r="AT12" s="10">
        <v>13</v>
      </c>
    </row>
    <row r="13" spans="1:46" x14ac:dyDescent="0.25">
      <c r="A13" s="30" t="s">
        <v>66</v>
      </c>
      <c r="B13" s="28" t="s">
        <v>136</v>
      </c>
      <c r="C13" s="28">
        <v>9564</v>
      </c>
      <c r="D13" s="18">
        <v>2023083101</v>
      </c>
      <c r="E13" s="19">
        <v>45169</v>
      </c>
      <c r="F13" s="18">
        <v>1706</v>
      </c>
      <c r="G13" s="20">
        <v>15</v>
      </c>
      <c r="H13" s="20">
        <v>15</v>
      </c>
      <c r="I13" s="10">
        <v>15</v>
      </c>
      <c r="J13" s="10"/>
      <c r="K13" s="10">
        <v>15</v>
      </c>
      <c r="L13" s="10"/>
      <c r="M13" s="10"/>
      <c r="N13" s="10"/>
      <c r="O13" s="10">
        <v>15</v>
      </c>
      <c r="P13" s="10">
        <v>15</v>
      </c>
      <c r="Q13" s="10">
        <v>15</v>
      </c>
      <c r="R13" s="20">
        <v>15</v>
      </c>
      <c r="S13" s="20">
        <v>15</v>
      </c>
      <c r="T13" s="10">
        <v>15</v>
      </c>
      <c r="U13" s="10"/>
      <c r="V13" s="10">
        <v>15</v>
      </c>
      <c r="W13" s="10">
        <v>15</v>
      </c>
      <c r="X13" s="10">
        <v>15</v>
      </c>
      <c r="Y13" s="10">
        <v>15</v>
      </c>
      <c r="Z13" s="20">
        <v>15</v>
      </c>
      <c r="AA13" s="20">
        <v>15</v>
      </c>
      <c r="AB13" s="20">
        <v>15</v>
      </c>
      <c r="AC13" s="20">
        <v>15</v>
      </c>
      <c r="AD13" s="20">
        <v>15</v>
      </c>
      <c r="AE13" s="10">
        <v>15</v>
      </c>
      <c r="AF13" s="20">
        <v>15</v>
      </c>
      <c r="AG13" s="20">
        <v>15</v>
      </c>
      <c r="AH13" s="20">
        <v>15</v>
      </c>
      <c r="AI13" s="20">
        <v>15</v>
      </c>
      <c r="AJ13" s="20">
        <v>15</v>
      </c>
      <c r="AK13" s="10">
        <v>15</v>
      </c>
      <c r="AL13" s="20">
        <v>15</v>
      </c>
      <c r="AM13" s="20">
        <v>15</v>
      </c>
      <c r="AN13" s="10">
        <v>15</v>
      </c>
      <c r="AO13" s="10">
        <v>15</v>
      </c>
      <c r="AP13" s="10">
        <v>15</v>
      </c>
      <c r="AQ13" s="10">
        <v>15</v>
      </c>
      <c r="AR13" s="10">
        <v>15</v>
      </c>
      <c r="AS13" s="10">
        <v>15</v>
      </c>
      <c r="AT13" s="10">
        <v>15</v>
      </c>
    </row>
    <row r="14" spans="1:46" x14ac:dyDescent="0.25">
      <c r="A14" s="30" t="s">
        <v>66</v>
      </c>
      <c r="B14" s="28" t="s">
        <v>137</v>
      </c>
      <c r="C14" s="28">
        <v>9571</v>
      </c>
      <c r="D14" s="18">
        <v>2023083101</v>
      </c>
      <c r="E14" s="19">
        <v>45169</v>
      </c>
      <c r="F14" s="18">
        <v>1707</v>
      </c>
      <c r="G14" s="20">
        <v>16</v>
      </c>
      <c r="H14" s="10">
        <v>16</v>
      </c>
      <c r="I14" s="20">
        <v>16</v>
      </c>
      <c r="J14" s="20"/>
      <c r="K14" s="20">
        <v>16</v>
      </c>
      <c r="L14" s="20"/>
      <c r="M14" s="20"/>
      <c r="N14" s="20"/>
      <c r="O14" s="20">
        <v>16</v>
      </c>
      <c r="P14" s="20">
        <v>16</v>
      </c>
      <c r="Q14" s="10">
        <v>16</v>
      </c>
      <c r="R14" s="10">
        <v>16</v>
      </c>
      <c r="S14" s="20">
        <v>16</v>
      </c>
      <c r="T14" s="20">
        <v>16</v>
      </c>
      <c r="U14" s="20"/>
      <c r="V14" s="20">
        <v>16</v>
      </c>
      <c r="W14" s="10">
        <v>16</v>
      </c>
      <c r="X14" s="10">
        <v>16</v>
      </c>
      <c r="Y14" s="10">
        <v>16</v>
      </c>
      <c r="Z14" s="20">
        <v>16</v>
      </c>
      <c r="AA14" s="20">
        <v>16</v>
      </c>
      <c r="AB14" s="20">
        <v>16</v>
      </c>
      <c r="AC14" s="20">
        <v>16</v>
      </c>
      <c r="AD14" s="20">
        <v>16</v>
      </c>
      <c r="AE14" s="10">
        <v>16</v>
      </c>
      <c r="AF14" s="20">
        <v>16</v>
      </c>
      <c r="AG14" s="20">
        <v>16</v>
      </c>
      <c r="AH14" s="20">
        <v>16</v>
      </c>
      <c r="AI14" s="20">
        <v>16</v>
      </c>
      <c r="AJ14" s="20">
        <v>16</v>
      </c>
      <c r="AK14" s="10">
        <v>16</v>
      </c>
      <c r="AL14" s="20">
        <v>16</v>
      </c>
      <c r="AM14" s="20">
        <v>16</v>
      </c>
      <c r="AN14" s="20">
        <v>16</v>
      </c>
      <c r="AO14" s="20">
        <v>16</v>
      </c>
      <c r="AP14" s="20">
        <v>16</v>
      </c>
      <c r="AQ14" s="20">
        <v>16</v>
      </c>
      <c r="AR14" s="10">
        <v>16</v>
      </c>
      <c r="AS14" s="10">
        <v>16</v>
      </c>
      <c r="AT14" s="10">
        <v>16</v>
      </c>
    </row>
    <row r="15" spans="1:46" x14ac:dyDescent="0.25">
      <c r="A15" s="30" t="s">
        <v>66</v>
      </c>
      <c r="B15" s="28" t="s">
        <v>138</v>
      </c>
      <c r="C15" s="28">
        <v>9557</v>
      </c>
      <c r="D15" s="18">
        <v>2023083101</v>
      </c>
      <c r="E15" s="19">
        <v>45169</v>
      </c>
      <c r="F15" s="18">
        <v>1708</v>
      </c>
      <c r="G15" s="20">
        <v>17</v>
      </c>
      <c r="H15" s="10">
        <v>17</v>
      </c>
      <c r="I15" s="20">
        <v>17</v>
      </c>
      <c r="J15" s="20"/>
      <c r="K15" s="20">
        <v>17</v>
      </c>
      <c r="L15" s="20"/>
      <c r="M15" s="20"/>
      <c r="N15" s="20"/>
      <c r="O15" s="20">
        <v>17</v>
      </c>
      <c r="P15" s="10">
        <v>17</v>
      </c>
      <c r="Q15" s="20">
        <v>17</v>
      </c>
      <c r="R15" s="10">
        <v>17</v>
      </c>
      <c r="S15" s="20">
        <v>17</v>
      </c>
      <c r="T15" s="10">
        <v>17</v>
      </c>
      <c r="U15" s="10"/>
      <c r="V15" s="20">
        <v>17</v>
      </c>
      <c r="W15" s="20">
        <v>17</v>
      </c>
      <c r="X15" s="10">
        <v>17</v>
      </c>
      <c r="Y15" s="10">
        <v>17</v>
      </c>
      <c r="Z15" s="20">
        <v>17</v>
      </c>
      <c r="AA15" s="20">
        <v>17</v>
      </c>
      <c r="AB15" s="20">
        <v>17</v>
      </c>
      <c r="AC15" s="20">
        <v>17</v>
      </c>
      <c r="AD15" s="20">
        <v>17</v>
      </c>
      <c r="AE15" s="10">
        <v>17</v>
      </c>
      <c r="AF15" s="20">
        <v>17</v>
      </c>
      <c r="AG15" s="20">
        <v>17</v>
      </c>
      <c r="AH15" s="20">
        <v>17</v>
      </c>
      <c r="AI15" s="20">
        <v>17</v>
      </c>
      <c r="AJ15" s="20">
        <v>17</v>
      </c>
      <c r="AK15" s="10">
        <v>17</v>
      </c>
      <c r="AL15" s="20">
        <v>17</v>
      </c>
      <c r="AM15" s="20">
        <v>17</v>
      </c>
      <c r="AN15" s="20">
        <v>17</v>
      </c>
      <c r="AO15" s="10">
        <v>17</v>
      </c>
      <c r="AP15" s="20">
        <v>17</v>
      </c>
      <c r="AQ15" s="10">
        <v>17</v>
      </c>
      <c r="AR15" s="20">
        <v>17</v>
      </c>
      <c r="AS15" s="20">
        <v>17</v>
      </c>
      <c r="AT15" s="20">
        <v>17</v>
      </c>
    </row>
    <row r="16" spans="1:46" x14ac:dyDescent="0.25">
      <c r="A16" s="30" t="s">
        <v>66</v>
      </c>
      <c r="B16" s="28" t="s">
        <v>139</v>
      </c>
      <c r="C16" s="28">
        <v>5863</v>
      </c>
      <c r="D16" s="18">
        <v>2023083101</v>
      </c>
      <c r="E16" s="19">
        <v>45169</v>
      </c>
      <c r="F16" s="18">
        <v>1709</v>
      </c>
      <c r="G16" s="20">
        <v>18</v>
      </c>
      <c r="H16" s="10">
        <v>18</v>
      </c>
      <c r="I16" s="20">
        <v>18</v>
      </c>
      <c r="J16" s="20"/>
      <c r="K16" s="20">
        <v>18</v>
      </c>
      <c r="L16" s="20"/>
      <c r="M16" s="20"/>
      <c r="N16" s="20"/>
      <c r="O16" s="20">
        <v>18</v>
      </c>
      <c r="P16" s="20">
        <v>18</v>
      </c>
      <c r="Q16" s="20">
        <v>18</v>
      </c>
      <c r="R16" s="10">
        <v>18</v>
      </c>
      <c r="S16" s="20">
        <v>18</v>
      </c>
      <c r="T16" s="10">
        <v>18</v>
      </c>
      <c r="U16" s="10"/>
      <c r="V16" s="10">
        <v>18</v>
      </c>
      <c r="W16" s="10">
        <v>18</v>
      </c>
      <c r="X16" s="10">
        <v>18</v>
      </c>
      <c r="Y16" s="10">
        <v>18</v>
      </c>
      <c r="Z16" s="20">
        <v>18</v>
      </c>
      <c r="AA16" s="20">
        <v>18</v>
      </c>
      <c r="AB16" s="20">
        <v>18</v>
      </c>
      <c r="AC16" s="20">
        <v>18</v>
      </c>
      <c r="AD16" s="20">
        <v>18</v>
      </c>
      <c r="AE16" s="10">
        <v>18</v>
      </c>
      <c r="AF16" s="20">
        <v>18</v>
      </c>
      <c r="AG16" s="20">
        <v>18</v>
      </c>
      <c r="AH16" s="20">
        <v>18</v>
      </c>
      <c r="AI16" s="20">
        <v>18</v>
      </c>
      <c r="AJ16" s="20">
        <v>18</v>
      </c>
      <c r="AK16" s="10">
        <v>18</v>
      </c>
      <c r="AL16" s="20">
        <v>18</v>
      </c>
      <c r="AM16" s="20">
        <v>18</v>
      </c>
      <c r="AN16" s="20">
        <v>18</v>
      </c>
      <c r="AO16" s="10">
        <v>18</v>
      </c>
      <c r="AP16" s="20">
        <v>18</v>
      </c>
      <c r="AQ16" s="20">
        <v>18</v>
      </c>
      <c r="AR16" s="20">
        <v>18</v>
      </c>
      <c r="AS16" s="20">
        <v>18</v>
      </c>
      <c r="AT16" s="20">
        <v>18</v>
      </c>
    </row>
    <row r="17" spans="1:46" ht="18" x14ac:dyDescent="0.25">
      <c r="A17" s="30" t="s">
        <v>71</v>
      </c>
      <c r="B17" s="28" t="s">
        <v>140</v>
      </c>
      <c r="C17" s="28">
        <v>5862</v>
      </c>
      <c r="D17" s="18">
        <v>2023083101</v>
      </c>
      <c r="E17" s="19">
        <v>45169</v>
      </c>
      <c r="F17" s="18">
        <v>1715</v>
      </c>
      <c r="G17" s="20">
        <v>20</v>
      </c>
      <c r="H17" s="10">
        <v>20</v>
      </c>
      <c r="I17" s="20">
        <v>20</v>
      </c>
      <c r="J17" s="20"/>
      <c r="K17" s="20">
        <v>20</v>
      </c>
      <c r="L17" s="20"/>
      <c r="M17" s="20"/>
      <c r="N17" s="20"/>
      <c r="O17" s="20">
        <v>20</v>
      </c>
      <c r="P17" s="20">
        <v>20</v>
      </c>
      <c r="Q17" s="10">
        <v>20</v>
      </c>
      <c r="R17" s="10">
        <v>20</v>
      </c>
      <c r="S17" s="20">
        <v>20</v>
      </c>
      <c r="T17" s="10">
        <v>20</v>
      </c>
      <c r="U17" s="10"/>
      <c r="V17" s="20">
        <v>20</v>
      </c>
      <c r="W17" s="10">
        <v>20</v>
      </c>
      <c r="X17" s="20">
        <v>20</v>
      </c>
      <c r="Y17" s="10">
        <v>20</v>
      </c>
      <c r="Z17" s="20">
        <v>20</v>
      </c>
      <c r="AA17" s="20">
        <v>20</v>
      </c>
      <c r="AB17" s="20">
        <v>20</v>
      </c>
      <c r="AC17" s="20">
        <v>20</v>
      </c>
      <c r="AD17" s="20">
        <v>20</v>
      </c>
      <c r="AE17" s="10">
        <v>20</v>
      </c>
      <c r="AF17" s="20">
        <v>20</v>
      </c>
      <c r="AG17" s="20">
        <v>20</v>
      </c>
      <c r="AH17" s="20">
        <v>20</v>
      </c>
      <c r="AI17" s="20">
        <v>20</v>
      </c>
      <c r="AJ17" s="20">
        <v>20</v>
      </c>
      <c r="AK17" s="10">
        <v>20</v>
      </c>
      <c r="AL17" s="20">
        <v>20</v>
      </c>
      <c r="AM17" s="20">
        <v>20</v>
      </c>
      <c r="AN17" s="20">
        <v>20</v>
      </c>
      <c r="AO17" s="10">
        <v>20</v>
      </c>
      <c r="AP17" s="20">
        <v>20</v>
      </c>
      <c r="AQ17" s="20">
        <v>20</v>
      </c>
      <c r="AR17" s="10">
        <v>20</v>
      </c>
      <c r="AS17" s="10">
        <v>20</v>
      </c>
      <c r="AT17" s="10">
        <v>20</v>
      </c>
    </row>
    <row r="18" spans="1:46" ht="18" x14ac:dyDescent="0.25">
      <c r="A18" s="30" t="s">
        <v>71</v>
      </c>
      <c r="B18" s="28" t="s">
        <v>141</v>
      </c>
      <c r="C18" s="28">
        <v>6744</v>
      </c>
      <c r="D18" s="18">
        <v>2023083101</v>
      </c>
      <c r="E18" s="19">
        <v>45169</v>
      </c>
      <c r="F18" s="18">
        <v>1716</v>
      </c>
      <c r="G18" s="20">
        <v>21</v>
      </c>
      <c r="H18" s="10">
        <v>21</v>
      </c>
      <c r="I18" s="20">
        <v>21</v>
      </c>
      <c r="J18" s="20"/>
      <c r="K18" s="20">
        <v>21</v>
      </c>
      <c r="L18" s="20"/>
      <c r="M18" s="20"/>
      <c r="N18" s="20"/>
      <c r="O18" s="20">
        <v>21</v>
      </c>
      <c r="P18" s="20">
        <v>21</v>
      </c>
      <c r="Q18" s="10">
        <v>21</v>
      </c>
      <c r="R18" s="10">
        <v>21</v>
      </c>
      <c r="S18" s="20">
        <v>21</v>
      </c>
      <c r="T18" s="10">
        <v>21</v>
      </c>
      <c r="U18" s="10"/>
      <c r="V18" s="20">
        <v>21</v>
      </c>
      <c r="W18" s="10">
        <v>21</v>
      </c>
      <c r="X18" s="20">
        <v>21</v>
      </c>
      <c r="Y18" s="10">
        <v>21</v>
      </c>
      <c r="Z18" s="20">
        <v>21</v>
      </c>
      <c r="AA18" s="20">
        <v>21</v>
      </c>
      <c r="AB18" s="20">
        <v>21</v>
      </c>
      <c r="AC18" s="20">
        <v>21</v>
      </c>
      <c r="AD18" s="20">
        <v>21</v>
      </c>
      <c r="AE18" s="10">
        <v>21</v>
      </c>
      <c r="AF18" s="20">
        <v>21</v>
      </c>
      <c r="AG18" s="20">
        <v>21</v>
      </c>
      <c r="AH18" s="20">
        <v>21</v>
      </c>
      <c r="AI18" s="20">
        <v>21</v>
      </c>
      <c r="AJ18" s="20">
        <v>21</v>
      </c>
      <c r="AK18" s="10">
        <v>21</v>
      </c>
      <c r="AL18" s="20">
        <v>21</v>
      </c>
      <c r="AM18" s="20">
        <v>21</v>
      </c>
      <c r="AN18" s="20">
        <v>21</v>
      </c>
      <c r="AO18" s="10">
        <v>21</v>
      </c>
      <c r="AP18" s="20">
        <v>21</v>
      </c>
      <c r="AQ18" s="20">
        <v>21</v>
      </c>
      <c r="AR18" s="10">
        <v>21</v>
      </c>
      <c r="AS18" s="10">
        <v>21</v>
      </c>
      <c r="AT18" s="10">
        <v>21</v>
      </c>
    </row>
    <row r="19" spans="1:46" x14ac:dyDescent="0.25">
      <c r="A19" s="30"/>
      <c r="B19" s="28"/>
      <c r="C19" s="28"/>
      <c r="D19" s="18"/>
      <c r="E19" s="19"/>
      <c r="F19" s="18"/>
      <c r="G19" s="20"/>
      <c r="H19" s="10"/>
      <c r="I19" s="20"/>
      <c r="J19" s="20"/>
      <c r="K19" s="20"/>
      <c r="L19" s="20"/>
      <c r="M19" s="20"/>
      <c r="N19" s="20"/>
      <c r="O19" s="20"/>
      <c r="P19" s="20"/>
      <c r="Q19" s="10"/>
      <c r="R19" s="10"/>
      <c r="S19" s="20"/>
      <c r="T19" s="10"/>
      <c r="U19" s="10"/>
      <c r="V19" s="20"/>
      <c r="W19" s="10"/>
      <c r="X19" s="20"/>
      <c r="Y19" s="10"/>
      <c r="Z19" s="20"/>
      <c r="AA19" s="20"/>
      <c r="AB19" s="20"/>
      <c r="AC19" s="20"/>
      <c r="AD19" s="20"/>
      <c r="AE19" s="10"/>
      <c r="AF19" s="20"/>
      <c r="AG19" s="20"/>
      <c r="AH19" s="20"/>
      <c r="AI19" s="20"/>
      <c r="AJ19" s="20"/>
      <c r="AK19" s="10"/>
      <c r="AL19" s="20"/>
      <c r="AM19" s="20"/>
      <c r="AN19" s="20"/>
      <c r="AO19" s="10"/>
      <c r="AP19" s="20"/>
      <c r="AQ19" s="20"/>
      <c r="AR19" s="10"/>
      <c r="AS19" s="10"/>
      <c r="AT19" s="10"/>
    </row>
    <row r="20" spans="1:46" x14ac:dyDescent="0.25">
      <c r="A20" s="30"/>
      <c r="B20" s="28"/>
      <c r="C20" s="28"/>
      <c r="D20" s="18"/>
      <c r="E20" s="19"/>
      <c r="F20" s="18"/>
      <c r="G20" s="20"/>
      <c r="H20" s="10"/>
      <c r="I20" s="20"/>
      <c r="J20" s="20"/>
      <c r="K20" s="20"/>
      <c r="L20" s="20"/>
      <c r="M20" s="20"/>
      <c r="N20" s="20"/>
      <c r="O20" s="20"/>
      <c r="P20" s="20"/>
      <c r="Q20" s="10"/>
      <c r="R20" s="10"/>
      <c r="S20" s="20"/>
      <c r="T20" s="10"/>
      <c r="U20" s="10"/>
      <c r="V20" s="20"/>
      <c r="W20" s="10"/>
      <c r="X20" s="20"/>
      <c r="Y20" s="10"/>
      <c r="Z20" s="20"/>
      <c r="AA20" s="20"/>
      <c r="AB20" s="20"/>
      <c r="AC20" s="20"/>
      <c r="AD20" s="20"/>
      <c r="AE20" s="10"/>
      <c r="AF20" s="20"/>
      <c r="AG20" s="20"/>
      <c r="AH20" s="20"/>
      <c r="AI20" s="20"/>
      <c r="AJ20" s="20"/>
      <c r="AK20" s="10"/>
      <c r="AL20" s="20"/>
      <c r="AM20" s="20"/>
      <c r="AN20" s="20"/>
      <c r="AO20" s="10"/>
      <c r="AP20" s="20"/>
      <c r="AQ20" s="20"/>
      <c r="AR20" s="10"/>
      <c r="AS20" s="10"/>
      <c r="AT20" s="10"/>
    </row>
    <row r="21" spans="1:46" x14ac:dyDescent="0.25">
      <c r="A21" s="30"/>
      <c r="B21" s="28"/>
      <c r="C21" s="28"/>
      <c r="D21" s="18"/>
      <c r="E21" s="19"/>
      <c r="F21" s="18"/>
      <c r="G21" s="20"/>
      <c r="H21" s="20"/>
      <c r="I21" s="10"/>
      <c r="J21" s="10"/>
      <c r="K21" s="20"/>
      <c r="L21" s="20"/>
      <c r="M21" s="20"/>
      <c r="N21" s="20"/>
      <c r="O21" s="20"/>
      <c r="P21" s="20"/>
      <c r="Q21" s="20"/>
      <c r="R21" s="10"/>
      <c r="S21" s="20"/>
      <c r="T21" s="10"/>
      <c r="U21" s="10"/>
      <c r="V21" s="10"/>
      <c r="W21" s="10"/>
      <c r="X21" s="20"/>
      <c r="Y21" s="10"/>
      <c r="Z21" s="20"/>
      <c r="AA21" s="20"/>
      <c r="AB21" s="20"/>
      <c r="AC21" s="20"/>
      <c r="AD21" s="20"/>
      <c r="AE21" s="10"/>
      <c r="AF21" s="20"/>
      <c r="AG21" s="20"/>
      <c r="AH21" s="20"/>
      <c r="AI21" s="20"/>
      <c r="AJ21" s="20"/>
      <c r="AK21" s="10"/>
      <c r="AL21" s="20"/>
      <c r="AM21" s="20"/>
      <c r="AN21" s="20"/>
      <c r="AO21" s="10"/>
      <c r="AP21" s="20"/>
      <c r="AQ21" s="20"/>
      <c r="AR21" s="20"/>
      <c r="AS21" s="20"/>
      <c r="AT21" s="20"/>
    </row>
    <row r="22" spans="1:46" x14ac:dyDescent="0.25">
      <c r="A22" s="21"/>
      <c r="B22" s="21"/>
      <c r="C22" s="21"/>
      <c r="D22" s="22"/>
      <c r="E22" s="23"/>
      <c r="F22" s="22"/>
      <c r="G22" s="24"/>
      <c r="H22" s="20"/>
      <c r="I22" s="10"/>
      <c r="J22" s="1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10"/>
      <c r="W22" s="10"/>
      <c r="X22" s="10"/>
      <c r="Y22" s="20"/>
      <c r="Z22" s="20"/>
      <c r="AA22" s="20"/>
      <c r="AB22" s="20"/>
      <c r="AC22" s="20"/>
      <c r="AD22" s="20"/>
      <c r="AE22" s="10"/>
      <c r="AF22" s="20"/>
      <c r="AG22" s="20"/>
      <c r="AH22" s="20"/>
      <c r="AI22" s="20"/>
      <c r="AJ22" s="20"/>
      <c r="AK22" s="10"/>
      <c r="AL22" s="20"/>
      <c r="AM22" s="20"/>
      <c r="AN22" s="20"/>
      <c r="AO22" s="10"/>
      <c r="AP22" s="20"/>
      <c r="AQ22" s="20"/>
      <c r="AR22" s="20"/>
      <c r="AS22" s="20"/>
      <c r="AT22" s="20"/>
    </row>
    <row r="23" spans="1:46" x14ac:dyDescent="0.25">
      <c r="A23" s="21"/>
      <c r="B23" s="21"/>
      <c r="C23" s="21"/>
      <c r="D23" s="22"/>
      <c r="E23" s="23"/>
      <c r="F23" s="22"/>
      <c r="G23" s="24"/>
      <c r="H23" s="20"/>
      <c r="I23" s="10"/>
      <c r="J23" s="1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10"/>
      <c r="W23" s="10"/>
      <c r="X23" s="10"/>
      <c r="Y23" s="20"/>
      <c r="Z23" s="20"/>
      <c r="AA23" s="20"/>
      <c r="AB23" s="20"/>
      <c r="AC23" s="20"/>
      <c r="AD23" s="20"/>
      <c r="AE23" s="10"/>
      <c r="AF23" s="20"/>
      <c r="AG23" s="20"/>
      <c r="AH23" s="20"/>
      <c r="AI23" s="20"/>
      <c r="AJ23" s="20"/>
      <c r="AK23" s="10"/>
      <c r="AL23" s="20"/>
      <c r="AM23" s="20"/>
      <c r="AN23" s="20"/>
      <c r="AO23" s="10"/>
      <c r="AP23" s="20"/>
      <c r="AQ23" s="20"/>
      <c r="AR23" s="20"/>
      <c r="AS23" s="20"/>
      <c r="AT23" s="20"/>
    </row>
    <row r="24" spans="1:46" x14ac:dyDescent="0.25">
      <c r="A24" s="21" t="s">
        <v>0</v>
      </c>
      <c r="B24" s="21" t="s">
        <v>0</v>
      </c>
      <c r="C24" s="21" t="s">
        <v>0</v>
      </c>
      <c r="D24" s="25" t="s">
        <v>56</v>
      </c>
      <c r="E24" s="26" t="s">
        <v>0</v>
      </c>
      <c r="F24" s="25" t="s">
        <v>0</v>
      </c>
      <c r="G24" s="27">
        <f t="shared" ref="G24:AR24" si="0">SUM(G2:G23)</f>
        <v>184</v>
      </c>
      <c r="H24" s="27">
        <f t="shared" si="0"/>
        <v>184</v>
      </c>
      <c r="I24" s="27">
        <f t="shared" si="0"/>
        <v>184</v>
      </c>
      <c r="J24" s="27"/>
      <c r="K24" s="27">
        <f t="shared" si="0"/>
        <v>184</v>
      </c>
      <c r="L24" s="27"/>
      <c r="M24" s="27"/>
      <c r="N24" s="27">
        <f t="shared" si="0"/>
        <v>0</v>
      </c>
      <c r="O24" s="27">
        <f t="shared" si="0"/>
        <v>184</v>
      </c>
      <c r="P24" s="27">
        <f t="shared" si="0"/>
        <v>184</v>
      </c>
      <c r="Q24" s="27">
        <f t="shared" si="0"/>
        <v>184</v>
      </c>
      <c r="R24" s="27">
        <f t="shared" si="0"/>
        <v>184</v>
      </c>
      <c r="S24" s="27">
        <f t="shared" si="0"/>
        <v>184</v>
      </c>
      <c r="T24" s="27">
        <f t="shared" si="0"/>
        <v>184</v>
      </c>
      <c r="U24" s="27">
        <f t="shared" si="0"/>
        <v>0</v>
      </c>
      <c r="V24" s="27">
        <f>SUM(M3:M23)</f>
        <v>0</v>
      </c>
      <c r="W24" s="27">
        <f>SUM(L3:L23)</f>
        <v>0</v>
      </c>
      <c r="X24" s="27">
        <f>SUM(J3:J23)</f>
        <v>0</v>
      </c>
      <c r="Y24" s="27">
        <f t="shared" si="0"/>
        <v>184</v>
      </c>
      <c r="Z24" s="27">
        <f t="shared" si="0"/>
        <v>184</v>
      </c>
      <c r="AA24" s="27">
        <f t="shared" si="0"/>
        <v>184</v>
      </c>
      <c r="AB24" s="27">
        <f t="shared" si="0"/>
        <v>184</v>
      </c>
      <c r="AC24" s="27">
        <f t="shared" si="0"/>
        <v>184</v>
      </c>
      <c r="AD24" s="27">
        <f t="shared" si="0"/>
        <v>184</v>
      </c>
      <c r="AE24" s="27">
        <f t="shared" si="0"/>
        <v>184</v>
      </c>
      <c r="AF24" s="27">
        <f t="shared" si="0"/>
        <v>184</v>
      </c>
      <c r="AG24" s="27">
        <f t="shared" si="0"/>
        <v>184</v>
      </c>
      <c r="AH24" s="27">
        <f t="shared" si="0"/>
        <v>184</v>
      </c>
      <c r="AI24" s="27">
        <f t="shared" si="0"/>
        <v>184</v>
      </c>
      <c r="AJ24" s="27">
        <f t="shared" si="0"/>
        <v>184</v>
      </c>
      <c r="AK24" s="27">
        <f t="shared" si="0"/>
        <v>184</v>
      </c>
      <c r="AL24" s="27">
        <f t="shared" si="0"/>
        <v>184</v>
      </c>
      <c r="AM24" s="27">
        <f t="shared" si="0"/>
        <v>184</v>
      </c>
      <c r="AN24" s="27">
        <f t="shared" si="0"/>
        <v>184</v>
      </c>
      <c r="AO24" s="27">
        <f t="shared" si="0"/>
        <v>184</v>
      </c>
      <c r="AP24" s="27">
        <f t="shared" si="0"/>
        <v>184</v>
      </c>
      <c r="AQ24" s="27">
        <f t="shared" si="0"/>
        <v>184</v>
      </c>
      <c r="AR24" s="27">
        <f t="shared" si="0"/>
        <v>184</v>
      </c>
      <c r="AS24" s="27">
        <f>SUM(AS3:AS23)</f>
        <v>183</v>
      </c>
      <c r="AT24" s="27">
        <f>SUM(AT3:AT23)</f>
        <v>183</v>
      </c>
    </row>
    <row r="26" spans="1:46" x14ac:dyDescent="0.25">
      <c r="A26" s="7" t="s">
        <v>109</v>
      </c>
      <c r="B26" t="s">
        <v>108</v>
      </c>
      <c r="C26" t="s">
        <v>107</v>
      </c>
      <c r="D26" t="s">
        <v>106</v>
      </c>
      <c r="E26" s="2" t="s">
        <v>105</v>
      </c>
      <c r="F26" s="2"/>
    </row>
    <row r="27" spans="1:46" x14ac:dyDescent="0.25">
      <c r="A27" s="8" t="s">
        <v>51</v>
      </c>
      <c r="B27" s="9">
        <v>6</v>
      </c>
      <c r="C27" s="9">
        <v>6</v>
      </c>
      <c r="D27" s="9">
        <v>6</v>
      </c>
      <c r="E27" s="2">
        <f>+GETPIVOTDATA("Sum of Total Earnings",$A$26,"Department","Administration")-GETPIVOTDATA("Sum of WELL",$A$26,"Department","Administration")-GETPIVOTDATA("Sum of ETECH",$A$26,"Department","Administration")</f>
        <v>-6</v>
      </c>
      <c r="F27" s="2"/>
    </row>
    <row r="28" spans="1:46" x14ac:dyDescent="0.25">
      <c r="A28" s="8" t="s">
        <v>57</v>
      </c>
      <c r="B28" s="9">
        <v>35</v>
      </c>
      <c r="C28" s="9">
        <v>35</v>
      </c>
      <c r="D28" s="9">
        <v>35</v>
      </c>
      <c r="E28" s="2">
        <f>+GETPIVOTDATA("Sum of Total Earnings",$A$26,"Department","Marketing")-GETPIVOTDATA("Sum of WELL",$A$26,"Department","Marketing")-GETPIVOTDATA("Sum of ETECH",$A$26,"Department","Marketing")</f>
        <v>-36</v>
      </c>
      <c r="F28" s="2"/>
    </row>
    <row r="29" spans="1:46" x14ac:dyDescent="0.25">
      <c r="A29" s="8" t="s">
        <v>62</v>
      </c>
      <c r="B29" s="9">
        <v>36</v>
      </c>
      <c r="C29" s="9">
        <v>36</v>
      </c>
      <c r="D29" s="9">
        <v>36</v>
      </c>
      <c r="E29" s="2">
        <f>+GETPIVOTDATA("Sum of Total Earnings",$A$26,"Department","Sales &amp; Partnerships")-GETPIVOTDATA("Sum of WELL",$A$26,"Department","Sales &amp; Partnerships")-GETPIVOTDATA("Sum of ETECH",$A$26,"Department","Sales &amp; Partnerships")</f>
        <v>-41</v>
      </c>
      <c r="F29" s="2"/>
    </row>
    <row r="30" spans="1:46" x14ac:dyDescent="0.25">
      <c r="A30" s="8" t="s">
        <v>66</v>
      </c>
      <c r="B30" s="9">
        <v>66</v>
      </c>
      <c r="C30" s="9">
        <v>66</v>
      </c>
      <c r="D30" s="9">
        <v>66</v>
      </c>
      <c r="E30" s="2">
        <f>+GETPIVOTDATA("Sum of Total Earnings",$A$26,"Department","Education")-GETPIVOTDATA("Sum of WELL",$A$26,"Department","Education")-GETPIVOTDATA("Sum of ETECH",$A$26,"Department","Education")</f>
        <v>-35</v>
      </c>
      <c r="F30" s="2"/>
    </row>
    <row r="31" spans="1:46" x14ac:dyDescent="0.25">
      <c r="A31" s="8" t="s">
        <v>71</v>
      </c>
      <c r="B31" s="9">
        <v>41</v>
      </c>
      <c r="C31" s="9">
        <v>41</v>
      </c>
      <c r="D31" s="9">
        <v>41</v>
      </c>
      <c r="E31" s="2">
        <f>+GETPIVOTDATA("Sum of Total Earnings",$A$26,"Department","Member Services")-GETPIVOTDATA("Sum of WELL",$A$26,"Department","Member Services")-GETPIVOTDATA("Sum of ETECH",$A$26,"Department","Member Services")</f>
        <v>-66</v>
      </c>
      <c r="F31" s="2"/>
    </row>
    <row r="32" spans="1:46" x14ac:dyDescent="0.25">
      <c r="A32" s="8" t="s">
        <v>104</v>
      </c>
      <c r="B32" s="9">
        <v>184</v>
      </c>
      <c r="C32" s="9">
        <v>184</v>
      </c>
      <c r="D32" s="9">
        <v>184</v>
      </c>
      <c r="E32" s="2">
        <f>SUM(E27:E31)</f>
        <v>-184</v>
      </c>
      <c r="F32" s="2">
        <f>+H24+I24+N24+T24+U24+V24+X24+W24</f>
        <v>552</v>
      </c>
      <c r="G32" s="6"/>
    </row>
    <row r="33" spans="1:6" x14ac:dyDescent="0.25">
      <c r="E33" s="2"/>
      <c r="F33" s="2"/>
    </row>
    <row r="36" spans="1:6" x14ac:dyDescent="0.25">
      <c r="A36" s="5" t="s">
        <v>103</v>
      </c>
      <c r="B36" s="5" t="s">
        <v>102</v>
      </c>
      <c r="C36" s="4" t="s">
        <v>101</v>
      </c>
      <c r="D36" s="4" t="s">
        <v>100</v>
      </c>
      <c r="E36" s="2" t="s">
        <v>99</v>
      </c>
    </row>
    <row r="37" spans="1:6" x14ac:dyDescent="0.25">
      <c r="A37" s="29" t="s">
        <v>118</v>
      </c>
      <c r="B37" s="29">
        <v>60002.1</v>
      </c>
      <c r="C37" s="2">
        <f>+E27</f>
        <v>-6</v>
      </c>
      <c r="D37" s="2"/>
      <c r="E37" s="2" t="s">
        <v>96</v>
      </c>
    </row>
    <row r="38" spans="1:6" x14ac:dyDescent="0.25">
      <c r="A38" s="29" t="s">
        <v>98</v>
      </c>
      <c r="B38" s="29">
        <v>60002.2</v>
      </c>
      <c r="C38" s="2">
        <f>+E30</f>
        <v>-35</v>
      </c>
      <c r="D38" s="2"/>
      <c r="E38" s="2" t="s">
        <v>96</v>
      </c>
    </row>
    <row r="39" spans="1:6" x14ac:dyDescent="0.25">
      <c r="A39" s="29" t="s">
        <v>62</v>
      </c>
      <c r="B39" s="29">
        <v>60002.3</v>
      </c>
      <c r="C39" s="2">
        <f>+E28</f>
        <v>-36</v>
      </c>
      <c r="D39" s="2"/>
      <c r="E39" s="2" t="s">
        <v>96</v>
      </c>
    </row>
    <row r="40" spans="1:6" x14ac:dyDescent="0.25">
      <c r="A40" s="29" t="s">
        <v>66</v>
      </c>
      <c r="B40" s="29">
        <v>60002.400000000001</v>
      </c>
      <c r="C40" s="2">
        <f>+E31</f>
        <v>-66</v>
      </c>
      <c r="D40" s="2"/>
      <c r="E40" s="2" t="s">
        <v>96</v>
      </c>
    </row>
    <row r="41" spans="1:6" x14ac:dyDescent="0.25">
      <c r="A41" s="29" t="s">
        <v>97</v>
      </c>
      <c r="B41" s="29">
        <v>60002.5</v>
      </c>
      <c r="C41" s="2">
        <f>+E29</f>
        <v>-41</v>
      </c>
      <c r="D41" s="2"/>
      <c r="E41" s="2" t="s">
        <v>96</v>
      </c>
    </row>
    <row r="42" spans="1:6" x14ac:dyDescent="0.25">
      <c r="A42" s="29" t="s">
        <v>95</v>
      </c>
      <c r="B42" s="29">
        <v>60018</v>
      </c>
      <c r="C42" s="2">
        <f>+GETPIVOTDATA("Sum of ETECH",$A$26)</f>
        <v>184</v>
      </c>
      <c r="D42" s="2"/>
      <c r="E42" s="2" t="s">
        <v>94</v>
      </c>
    </row>
    <row r="43" spans="1:6" x14ac:dyDescent="0.25">
      <c r="A43" s="29" t="s">
        <v>93</v>
      </c>
      <c r="B43" s="29">
        <v>60001.2</v>
      </c>
      <c r="C43" s="2">
        <f>+GETPIVOTDATA("Sum of WELL",$A$26)</f>
        <v>184</v>
      </c>
      <c r="D43" s="2"/>
      <c r="E43" s="2" t="s">
        <v>93</v>
      </c>
    </row>
    <row r="44" spans="1:6" x14ac:dyDescent="0.25">
      <c r="A44" s="29" t="s">
        <v>92</v>
      </c>
      <c r="B44" s="29">
        <v>60001.3</v>
      </c>
      <c r="C44" s="2">
        <f>+AM24</f>
        <v>184</v>
      </c>
      <c r="D44" s="2"/>
      <c r="E44" s="2" t="s">
        <v>92</v>
      </c>
    </row>
    <row r="45" spans="1:6" x14ac:dyDescent="0.25">
      <c r="A45" s="3" t="s">
        <v>91</v>
      </c>
      <c r="B45" s="29">
        <v>24520</v>
      </c>
      <c r="C45" s="2"/>
      <c r="D45" s="2">
        <f>+AP24</f>
        <v>184</v>
      </c>
      <c r="E45" s="2" t="s">
        <v>90</v>
      </c>
    </row>
    <row r="46" spans="1:6" x14ac:dyDescent="0.25">
      <c r="A46" s="3" t="s">
        <v>89</v>
      </c>
      <c r="B46" s="29">
        <v>24530</v>
      </c>
      <c r="C46" s="2"/>
      <c r="D46" s="2">
        <f>+AQ24</f>
        <v>184</v>
      </c>
      <c r="E46" s="2" t="s">
        <v>88</v>
      </c>
    </row>
    <row r="47" spans="1:6" x14ac:dyDescent="0.25">
      <c r="A47" s="3" t="s">
        <v>87</v>
      </c>
      <c r="B47" s="29">
        <v>24540</v>
      </c>
      <c r="C47" s="2"/>
      <c r="D47" s="2">
        <f>+AR24</f>
        <v>184</v>
      </c>
      <c r="E47" s="2" t="s">
        <v>86</v>
      </c>
    </row>
    <row r="48" spans="1:6" x14ac:dyDescent="0.25">
      <c r="A48" s="29" t="s">
        <v>85</v>
      </c>
      <c r="B48" s="29">
        <v>60001.2</v>
      </c>
      <c r="C48" s="2">
        <f>+K24</f>
        <v>184</v>
      </c>
      <c r="D48" s="2"/>
      <c r="E48" s="2" t="s">
        <v>81</v>
      </c>
    </row>
    <row r="49" spans="1:5" x14ac:dyDescent="0.25">
      <c r="A49" s="29" t="s">
        <v>83</v>
      </c>
      <c r="B49" s="29">
        <v>24100</v>
      </c>
      <c r="C49" s="2"/>
      <c r="D49" s="2">
        <f>+AN24</f>
        <v>184</v>
      </c>
      <c r="E49" s="2" t="s">
        <v>83</v>
      </c>
    </row>
    <row r="50" spans="1:5" x14ac:dyDescent="0.25">
      <c r="A50" s="29" t="s">
        <v>84</v>
      </c>
      <c r="B50" s="29">
        <v>24100</v>
      </c>
      <c r="C50" s="2"/>
      <c r="D50" s="2">
        <f>+AO24</f>
        <v>184</v>
      </c>
      <c r="E50" s="2" t="s">
        <v>83</v>
      </c>
    </row>
    <row r="51" spans="1:5" ht="13.5" customHeight="1" x14ac:dyDescent="0.25">
      <c r="A51" s="29" t="s">
        <v>82</v>
      </c>
      <c r="B51" s="29">
        <v>24100</v>
      </c>
      <c r="C51" s="2"/>
      <c r="D51" s="2">
        <f>+K24</f>
        <v>184</v>
      </c>
      <c r="E51" s="2" t="s">
        <v>81</v>
      </c>
    </row>
    <row r="52" spans="1:5" x14ac:dyDescent="0.25">
      <c r="A52" s="29" t="s">
        <v>80</v>
      </c>
      <c r="B52" s="29">
        <v>24100</v>
      </c>
      <c r="C52" s="2">
        <f>+D49+D50+D51</f>
        <v>552</v>
      </c>
      <c r="D52" s="2"/>
      <c r="E52" s="2"/>
    </row>
    <row r="53" spans="1:5" x14ac:dyDescent="0.25">
      <c r="A53" s="29" t="s">
        <v>79</v>
      </c>
      <c r="B53" s="29">
        <v>10200</v>
      </c>
      <c r="C53" s="2"/>
      <c r="D53" s="2">
        <f>+C52</f>
        <v>552</v>
      </c>
      <c r="E53" s="2"/>
    </row>
    <row r="54" spans="1:5" x14ac:dyDescent="0.25">
      <c r="A54" s="29" t="s">
        <v>75</v>
      </c>
      <c r="B54" s="29">
        <v>10200</v>
      </c>
      <c r="C54" s="2"/>
      <c r="D54" s="2">
        <f>+G24</f>
        <v>184</v>
      </c>
      <c r="E54" s="2"/>
    </row>
    <row r="55" spans="1:5" x14ac:dyDescent="0.25">
      <c r="A55" s="29" t="s">
        <v>78</v>
      </c>
      <c r="B55" s="29">
        <v>10200</v>
      </c>
      <c r="C55" s="2"/>
      <c r="D55" s="2">
        <f>+AG24+AM24</f>
        <v>368</v>
      </c>
      <c r="E55" s="2"/>
    </row>
    <row r="56" spans="1:5" x14ac:dyDescent="0.25">
      <c r="C56" s="2"/>
      <c r="D56" s="2"/>
      <c r="E56" s="2"/>
    </row>
    <row r="57" spans="1:5" x14ac:dyDescent="0.25">
      <c r="C57" s="2"/>
      <c r="D57" s="2"/>
      <c r="E57" s="2"/>
    </row>
    <row r="58" spans="1:5" x14ac:dyDescent="0.25">
      <c r="C58" s="2">
        <f>SUM(C37:C57)</f>
        <v>1104</v>
      </c>
      <c r="D58" s="2">
        <f>SUM(D37:D57)</f>
        <v>2208</v>
      </c>
      <c r="E58" s="2"/>
    </row>
    <row r="59" spans="1:5" x14ac:dyDescent="0.25">
      <c r="C59" s="2"/>
      <c r="D59" s="2"/>
      <c r="E59" s="2"/>
    </row>
    <row r="60" spans="1:5" x14ac:dyDescent="0.25">
      <c r="C60" s="2"/>
      <c r="D60" s="2" t="s">
        <v>114</v>
      </c>
      <c r="E60" s="2"/>
    </row>
    <row r="61" spans="1:5" x14ac:dyDescent="0.25">
      <c r="A61" s="29" t="s">
        <v>77</v>
      </c>
      <c r="C61" s="2"/>
      <c r="D61" s="2"/>
      <c r="E61" s="2"/>
    </row>
    <row r="62" spans="1:5" x14ac:dyDescent="0.25">
      <c r="A62" s="29" t="s">
        <v>76</v>
      </c>
      <c r="C62" s="11"/>
      <c r="D62" s="2">
        <f>C62-D53</f>
        <v>-552</v>
      </c>
    </row>
    <row r="63" spans="1:5" x14ac:dyDescent="0.25">
      <c r="A63" s="29" t="s">
        <v>75</v>
      </c>
      <c r="C63" s="11"/>
      <c r="D63" s="2">
        <f>C63-D54</f>
        <v>-184</v>
      </c>
    </row>
    <row r="64" spans="1:5" x14ac:dyDescent="0.25">
      <c r="A64" s="29" t="s">
        <v>74</v>
      </c>
      <c r="C64" s="11"/>
      <c r="D64" s="2">
        <f>C64-D55</f>
        <v>-368</v>
      </c>
    </row>
  </sheetData>
  <conditionalFormatting sqref="D62:D64">
    <cfRule type="cellIs" dxfId="0" priority="1" operator="notEqual">
      <formula>0</formula>
    </cfRule>
  </conditionalFormatting>
  <pageMargins left="0.25" right="0" top="1" bottom="0.95" header="0.25" footer="0.25"/>
  <pageSetup paperSize="5" orientation="landscape" horizontalDpi="300" verticalDpi="300"/>
  <headerFooter alignWithMargins="0">
    <oddHeader>&amp;L&amp;"Times New Roman,Regular"&amp;8 Check Date: 07\\14\\2023 
&amp;"-,Bold"&amp;11 Payroll Register Data Export YTD 
&amp;"-,Bold"&amp;8Page &amp;P of &amp;N 
&amp;"-,Regular"Process: 2023071401 
&amp;"-,Regular"Pay Period:  06/27/2023 to 07/11/2023 
&amp;"-,Regular"&amp;10 National Ski Patrol Syste</oddHeader>
    <oddFooter>&amp;L&amp;"Times New Roman,Regular"&amp;8 Paylocity Corporation
(888) 873-8205 
&amp;"-,Regular"User: mkurcz 
&amp;"-,Regular"Run on 7/13/2023 at 3:00 PM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0C6C7-0772-4256-A438-53B37563F4CB}">
  <dimension ref="A1:BZ26"/>
  <sheetViews>
    <sheetView showGridLines="0" workbookViewId="0">
      <selection activeCell="M10" sqref="M10"/>
    </sheetView>
  </sheetViews>
  <sheetFormatPr defaultRowHeight="15" x14ac:dyDescent="0.25"/>
  <cols>
    <col min="1" max="1" width="6.7109375" style="29" customWidth="1"/>
    <col min="2" max="2" width="11.5703125" style="29" customWidth="1"/>
    <col min="3" max="4" width="13.7109375" style="29" customWidth="1"/>
    <col min="5" max="5" width="13.28515625" style="29" customWidth="1"/>
    <col min="6" max="6" width="8.7109375" style="29" customWidth="1"/>
    <col min="7" max="8" width="8.5703125" style="29" customWidth="1"/>
    <col min="9" max="9" width="9.7109375" style="29" customWidth="1"/>
    <col min="10" max="10" width="8.7109375" style="29" customWidth="1"/>
    <col min="11" max="39" width="6.85546875" style="29" customWidth="1"/>
    <col min="40" max="40" width="7.7109375" style="29" bestFit="1" customWidth="1"/>
    <col min="41" max="78" width="6.85546875" style="29" customWidth="1"/>
    <col min="79" max="16384" width="9.140625" style="29"/>
  </cols>
  <sheetData>
    <row r="1" spans="1:78" x14ac:dyDescent="0.25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3" t="s">
        <v>1</v>
      </c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5"/>
      <c r="AO1" s="33" t="s">
        <v>2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5"/>
      <c r="BC1" s="33" t="s">
        <v>3</v>
      </c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5"/>
      <c r="BO1" s="33" t="s">
        <v>4</v>
      </c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5"/>
    </row>
    <row r="2" spans="1:78" x14ac:dyDescent="0.25">
      <c r="A2" s="36"/>
      <c r="B2" s="32"/>
      <c r="C2" s="32"/>
      <c r="D2" s="32"/>
      <c r="E2" s="32"/>
      <c r="F2" s="32"/>
      <c r="G2" s="32"/>
      <c r="H2" s="32"/>
      <c r="I2" s="32"/>
      <c r="J2" s="32"/>
      <c r="K2" s="33" t="s">
        <v>5</v>
      </c>
      <c r="L2" s="35"/>
      <c r="M2" s="33" t="s">
        <v>6</v>
      </c>
      <c r="N2" s="35"/>
      <c r="O2" s="33" t="s">
        <v>7</v>
      </c>
      <c r="P2" s="35"/>
      <c r="Q2" s="33" t="s">
        <v>8</v>
      </c>
      <c r="R2" s="35"/>
      <c r="S2" s="33" t="s">
        <v>9</v>
      </c>
      <c r="T2" s="35"/>
      <c r="U2" s="33" t="s">
        <v>10</v>
      </c>
      <c r="V2" s="35"/>
      <c r="W2" s="33" t="s">
        <v>11</v>
      </c>
      <c r="X2" s="35"/>
      <c r="Y2" s="33" t="s">
        <v>12</v>
      </c>
      <c r="Z2" s="35"/>
      <c r="AA2" s="33" t="s">
        <v>13</v>
      </c>
      <c r="AB2" s="35"/>
      <c r="AC2" s="33" t="s">
        <v>14</v>
      </c>
      <c r="AD2" s="35"/>
      <c r="AE2" s="33" t="s">
        <v>15</v>
      </c>
      <c r="AF2" s="35"/>
      <c r="AG2" s="33" t="s">
        <v>16</v>
      </c>
      <c r="AH2" s="35"/>
      <c r="AI2" s="33" t="s">
        <v>17</v>
      </c>
      <c r="AJ2" s="35"/>
      <c r="AK2" s="33" t="s">
        <v>18</v>
      </c>
      <c r="AL2" s="35"/>
      <c r="AM2" s="37" t="s">
        <v>19</v>
      </c>
      <c r="AN2" s="38"/>
      <c r="AO2" s="33" t="s">
        <v>20</v>
      </c>
      <c r="AP2" s="35"/>
      <c r="AQ2" s="33" t="s">
        <v>21</v>
      </c>
      <c r="AR2" s="35"/>
      <c r="AS2" s="33" t="s">
        <v>22</v>
      </c>
      <c r="AT2" s="35"/>
      <c r="AU2" s="33" t="s">
        <v>23</v>
      </c>
      <c r="AV2" s="35"/>
      <c r="AW2" s="33" t="s">
        <v>24</v>
      </c>
      <c r="AX2" s="35"/>
      <c r="AY2" s="33" t="s">
        <v>25</v>
      </c>
      <c r="AZ2" s="35"/>
      <c r="BA2" s="37" t="s">
        <v>26</v>
      </c>
      <c r="BB2" s="38"/>
      <c r="BC2" s="33" t="s">
        <v>27</v>
      </c>
      <c r="BD2" s="35"/>
      <c r="BE2" s="33" t="s">
        <v>28</v>
      </c>
      <c r="BF2" s="35"/>
      <c r="BG2" s="33" t="s">
        <v>29</v>
      </c>
      <c r="BH2" s="35"/>
      <c r="BI2" s="33" t="s">
        <v>30</v>
      </c>
      <c r="BJ2" s="35"/>
      <c r="BK2" s="33" t="s">
        <v>31</v>
      </c>
      <c r="BL2" s="35"/>
      <c r="BM2" s="37" t="s">
        <v>32</v>
      </c>
      <c r="BN2" s="38"/>
      <c r="BO2" s="33" t="s">
        <v>33</v>
      </c>
      <c r="BP2" s="35"/>
      <c r="BQ2" s="33" t="s">
        <v>34</v>
      </c>
      <c r="BR2" s="35"/>
      <c r="BS2" s="33" t="s">
        <v>35</v>
      </c>
      <c r="BT2" s="35"/>
      <c r="BU2" s="33" t="s">
        <v>36</v>
      </c>
      <c r="BV2" s="35"/>
      <c r="BW2" s="33" t="s">
        <v>37</v>
      </c>
      <c r="BX2" s="35"/>
      <c r="BY2" s="37" t="s">
        <v>38</v>
      </c>
      <c r="BZ2" s="38"/>
    </row>
    <row r="3" spans="1:78" x14ac:dyDescent="0.25">
      <c r="A3" s="39" t="s">
        <v>39</v>
      </c>
      <c r="B3" s="39" t="s">
        <v>40</v>
      </c>
      <c r="C3" s="39" t="s">
        <v>41</v>
      </c>
      <c r="D3" s="39"/>
      <c r="E3" s="12" t="s">
        <v>42</v>
      </c>
      <c r="F3" s="12" t="s">
        <v>43</v>
      </c>
      <c r="G3" s="12" t="s">
        <v>44</v>
      </c>
      <c r="H3" s="12" t="s">
        <v>45</v>
      </c>
      <c r="I3" s="12" t="s">
        <v>46</v>
      </c>
      <c r="J3" s="13" t="s">
        <v>47</v>
      </c>
      <c r="K3" s="14" t="s">
        <v>48</v>
      </c>
      <c r="L3" s="14" t="s">
        <v>49</v>
      </c>
      <c r="M3" s="14" t="s">
        <v>48</v>
      </c>
      <c r="N3" s="14" t="s">
        <v>49</v>
      </c>
      <c r="O3" s="14" t="s">
        <v>48</v>
      </c>
      <c r="P3" s="14" t="s">
        <v>49</v>
      </c>
      <c r="Q3" s="14" t="s">
        <v>48</v>
      </c>
      <c r="R3" s="14" t="s">
        <v>49</v>
      </c>
      <c r="S3" s="14" t="s">
        <v>48</v>
      </c>
      <c r="T3" s="14" t="s">
        <v>49</v>
      </c>
      <c r="U3" s="14" t="s">
        <v>48</v>
      </c>
      <c r="V3" s="14" t="s">
        <v>49</v>
      </c>
      <c r="W3" s="14" t="s">
        <v>48</v>
      </c>
      <c r="X3" s="14" t="s">
        <v>49</v>
      </c>
      <c r="Y3" s="14" t="s">
        <v>48</v>
      </c>
      <c r="Z3" s="14" t="s">
        <v>49</v>
      </c>
      <c r="AA3" s="14" t="s">
        <v>48</v>
      </c>
      <c r="AB3" s="14" t="s">
        <v>49</v>
      </c>
      <c r="AC3" s="14" t="s">
        <v>48</v>
      </c>
      <c r="AD3" s="14" t="s">
        <v>49</v>
      </c>
      <c r="AE3" s="14" t="s">
        <v>48</v>
      </c>
      <c r="AF3" s="14" t="s">
        <v>49</v>
      </c>
      <c r="AG3" s="14" t="s">
        <v>48</v>
      </c>
      <c r="AH3" s="14" t="s">
        <v>49</v>
      </c>
      <c r="AI3" s="14" t="s">
        <v>48</v>
      </c>
      <c r="AJ3" s="14" t="s">
        <v>49</v>
      </c>
      <c r="AK3" s="14" t="s">
        <v>48</v>
      </c>
      <c r="AL3" s="14" t="s">
        <v>49</v>
      </c>
      <c r="AM3" s="15" t="s">
        <v>48</v>
      </c>
      <c r="AN3" s="15" t="s">
        <v>49</v>
      </c>
      <c r="AO3" s="14" t="s">
        <v>0</v>
      </c>
      <c r="AP3" s="14" t="s">
        <v>49</v>
      </c>
      <c r="AQ3" s="14" t="s">
        <v>0</v>
      </c>
      <c r="AR3" s="14" t="s">
        <v>49</v>
      </c>
      <c r="AS3" s="14" t="s">
        <v>0</v>
      </c>
      <c r="AT3" s="14" t="s">
        <v>49</v>
      </c>
      <c r="AU3" s="14" t="s">
        <v>0</v>
      </c>
      <c r="AV3" s="14" t="s">
        <v>49</v>
      </c>
      <c r="AW3" s="14" t="s">
        <v>0</v>
      </c>
      <c r="AX3" s="14" t="s">
        <v>49</v>
      </c>
      <c r="AY3" s="14" t="s">
        <v>0</v>
      </c>
      <c r="AZ3" s="14" t="s">
        <v>49</v>
      </c>
      <c r="BA3" s="15" t="s">
        <v>0</v>
      </c>
      <c r="BB3" s="15" t="s">
        <v>49</v>
      </c>
      <c r="BC3" s="14" t="s">
        <v>0</v>
      </c>
      <c r="BD3" s="14" t="s">
        <v>49</v>
      </c>
      <c r="BE3" s="14" t="s">
        <v>0</v>
      </c>
      <c r="BF3" s="14" t="s">
        <v>49</v>
      </c>
      <c r="BG3" s="14" t="s">
        <v>0</v>
      </c>
      <c r="BH3" s="14" t="s">
        <v>49</v>
      </c>
      <c r="BI3" s="14" t="s">
        <v>0</v>
      </c>
      <c r="BJ3" s="14" t="s">
        <v>49</v>
      </c>
      <c r="BK3" s="14" t="s">
        <v>0</v>
      </c>
      <c r="BL3" s="14" t="s">
        <v>49</v>
      </c>
      <c r="BM3" s="15" t="s">
        <v>0</v>
      </c>
      <c r="BN3" s="15" t="s">
        <v>49</v>
      </c>
      <c r="BO3" s="14" t="s">
        <v>0</v>
      </c>
      <c r="BP3" s="14" t="s">
        <v>49</v>
      </c>
      <c r="BQ3" s="14" t="s">
        <v>0</v>
      </c>
      <c r="BR3" s="14" t="s">
        <v>49</v>
      </c>
      <c r="BS3" s="14" t="s">
        <v>0</v>
      </c>
      <c r="BT3" s="14" t="s">
        <v>49</v>
      </c>
      <c r="BU3" s="14" t="s">
        <v>0</v>
      </c>
      <c r="BV3" s="14" t="s">
        <v>49</v>
      </c>
      <c r="BW3" s="14" t="s">
        <v>0</v>
      </c>
      <c r="BX3" s="14" t="s">
        <v>49</v>
      </c>
      <c r="BY3" s="15" t="s">
        <v>0</v>
      </c>
      <c r="BZ3" s="15" t="s">
        <v>49</v>
      </c>
    </row>
    <row r="4" spans="1:78" x14ac:dyDescent="0.25">
      <c r="A4" s="40" t="s">
        <v>50</v>
      </c>
      <c r="B4" s="40" t="s">
        <v>51</v>
      </c>
      <c r="C4" s="40" t="s">
        <v>52</v>
      </c>
      <c r="D4" s="40" t="s">
        <v>0</v>
      </c>
      <c r="E4" s="28" t="s">
        <v>124</v>
      </c>
      <c r="F4" s="28" t="s">
        <v>53</v>
      </c>
      <c r="G4" s="18">
        <v>2023083101</v>
      </c>
      <c r="H4" s="19">
        <v>45169</v>
      </c>
      <c r="I4" s="18">
        <v>1700</v>
      </c>
      <c r="J4" s="20">
        <v>1</v>
      </c>
      <c r="K4" s="10">
        <v>1</v>
      </c>
      <c r="L4" s="20">
        <v>1</v>
      </c>
      <c r="M4" s="10">
        <v>1</v>
      </c>
      <c r="N4" s="20">
        <v>1</v>
      </c>
      <c r="O4" s="10">
        <v>1</v>
      </c>
      <c r="P4" s="20">
        <v>1</v>
      </c>
      <c r="Q4" s="10">
        <v>1</v>
      </c>
      <c r="R4" s="20">
        <v>1</v>
      </c>
      <c r="S4" s="10">
        <v>1</v>
      </c>
      <c r="T4" s="20">
        <v>1</v>
      </c>
      <c r="U4" s="10">
        <v>1</v>
      </c>
      <c r="V4" s="20">
        <v>1</v>
      </c>
      <c r="W4" s="10">
        <v>1</v>
      </c>
      <c r="X4" s="20">
        <v>1</v>
      </c>
      <c r="Y4" s="10">
        <v>1</v>
      </c>
      <c r="Z4" s="20">
        <v>1</v>
      </c>
      <c r="AA4" s="10">
        <v>1</v>
      </c>
      <c r="AB4" s="20">
        <v>1</v>
      </c>
      <c r="AC4" s="10">
        <v>1</v>
      </c>
      <c r="AD4" s="20">
        <v>1</v>
      </c>
      <c r="AE4" s="10">
        <v>1</v>
      </c>
      <c r="AF4" s="20">
        <v>1</v>
      </c>
      <c r="AG4" s="10">
        <v>1</v>
      </c>
      <c r="AH4" s="20">
        <v>1</v>
      </c>
      <c r="AI4" s="10">
        <v>1</v>
      </c>
      <c r="AJ4" s="20">
        <v>1</v>
      </c>
      <c r="AK4" s="10">
        <v>1</v>
      </c>
      <c r="AL4" s="20">
        <v>1</v>
      </c>
      <c r="AM4" s="10">
        <v>1</v>
      </c>
      <c r="AN4" s="20">
        <v>1</v>
      </c>
      <c r="AO4" s="10">
        <v>1</v>
      </c>
      <c r="AP4" s="20">
        <v>1</v>
      </c>
      <c r="AQ4" s="10">
        <v>1</v>
      </c>
      <c r="AR4" s="20">
        <v>1</v>
      </c>
      <c r="AS4" s="10">
        <v>1</v>
      </c>
      <c r="AT4" s="20">
        <v>1</v>
      </c>
      <c r="AU4" s="10">
        <v>1</v>
      </c>
      <c r="AV4" s="20">
        <v>1</v>
      </c>
      <c r="AW4" s="10">
        <v>1</v>
      </c>
      <c r="AX4" s="20">
        <v>1</v>
      </c>
      <c r="AY4" s="10">
        <v>1</v>
      </c>
      <c r="AZ4" s="20">
        <v>1</v>
      </c>
      <c r="BA4" s="10">
        <v>1</v>
      </c>
      <c r="BB4" s="20">
        <v>1</v>
      </c>
      <c r="BC4" s="10">
        <v>1</v>
      </c>
      <c r="BD4" s="20">
        <v>1</v>
      </c>
      <c r="BE4" s="10">
        <v>1</v>
      </c>
      <c r="BF4" s="20">
        <v>1</v>
      </c>
      <c r="BG4" s="10">
        <v>1</v>
      </c>
      <c r="BH4" s="20">
        <v>1</v>
      </c>
      <c r="BI4" s="10">
        <v>1</v>
      </c>
      <c r="BJ4" s="20">
        <v>1</v>
      </c>
      <c r="BK4" s="10">
        <v>1</v>
      </c>
      <c r="BL4" s="20">
        <v>1</v>
      </c>
      <c r="BM4" s="10">
        <v>1</v>
      </c>
      <c r="BN4" s="20">
        <v>1</v>
      </c>
      <c r="BO4" s="10">
        <v>1</v>
      </c>
      <c r="BP4" s="20">
        <v>1</v>
      </c>
      <c r="BQ4" s="10">
        <v>1</v>
      </c>
      <c r="BR4" s="20">
        <v>1</v>
      </c>
      <c r="BS4" s="10">
        <v>1</v>
      </c>
      <c r="BT4" s="20">
        <v>1</v>
      </c>
      <c r="BU4" s="10">
        <v>1</v>
      </c>
      <c r="BV4" s="20">
        <v>1</v>
      </c>
      <c r="BW4" s="10">
        <v>1</v>
      </c>
      <c r="BX4" s="20">
        <v>1</v>
      </c>
      <c r="BY4" s="10">
        <v>1</v>
      </c>
      <c r="BZ4" s="20">
        <v>1</v>
      </c>
    </row>
    <row r="5" spans="1:78" x14ac:dyDescent="0.25">
      <c r="A5" s="41"/>
      <c r="B5" s="41"/>
      <c r="C5" s="41"/>
      <c r="D5" s="41"/>
      <c r="E5" s="28" t="s">
        <v>125</v>
      </c>
      <c r="F5" s="28" t="s">
        <v>54</v>
      </c>
      <c r="G5" s="18">
        <v>2023083101</v>
      </c>
      <c r="H5" s="19">
        <v>45169</v>
      </c>
      <c r="I5" s="18">
        <v>1701</v>
      </c>
      <c r="J5" s="20">
        <v>2</v>
      </c>
      <c r="K5" s="10">
        <v>2</v>
      </c>
      <c r="L5" s="20">
        <v>2</v>
      </c>
      <c r="M5" s="10">
        <v>2</v>
      </c>
      <c r="N5" s="20">
        <v>2</v>
      </c>
      <c r="O5" s="10">
        <v>2</v>
      </c>
      <c r="P5" s="20">
        <v>2</v>
      </c>
      <c r="Q5" s="10">
        <v>2</v>
      </c>
      <c r="R5" s="20">
        <v>2</v>
      </c>
      <c r="S5" s="10">
        <v>2</v>
      </c>
      <c r="T5" s="20">
        <v>2</v>
      </c>
      <c r="U5" s="10">
        <v>2</v>
      </c>
      <c r="V5" s="20">
        <v>2</v>
      </c>
      <c r="W5" s="10">
        <v>2</v>
      </c>
      <c r="X5" s="20">
        <v>2</v>
      </c>
      <c r="Y5" s="10">
        <v>2</v>
      </c>
      <c r="Z5" s="20">
        <v>2</v>
      </c>
      <c r="AA5" s="10">
        <v>2</v>
      </c>
      <c r="AB5" s="20">
        <v>2</v>
      </c>
      <c r="AC5" s="10">
        <v>2</v>
      </c>
      <c r="AD5" s="20">
        <v>2</v>
      </c>
      <c r="AE5" s="10">
        <v>2</v>
      </c>
      <c r="AF5" s="20">
        <v>2</v>
      </c>
      <c r="AG5" s="10">
        <v>2</v>
      </c>
      <c r="AH5" s="20">
        <v>2</v>
      </c>
      <c r="AI5" s="10">
        <v>2</v>
      </c>
      <c r="AJ5" s="20">
        <v>2</v>
      </c>
      <c r="AK5" s="10">
        <v>2</v>
      </c>
      <c r="AL5" s="20">
        <v>2</v>
      </c>
      <c r="AM5" s="10">
        <v>2</v>
      </c>
      <c r="AN5" s="20">
        <v>2</v>
      </c>
      <c r="AO5" s="10">
        <v>2</v>
      </c>
      <c r="AP5" s="20">
        <v>2</v>
      </c>
      <c r="AQ5" s="10">
        <v>2</v>
      </c>
      <c r="AR5" s="20">
        <v>2</v>
      </c>
      <c r="AS5" s="10">
        <v>2</v>
      </c>
      <c r="AT5" s="20">
        <v>2</v>
      </c>
      <c r="AU5" s="10">
        <v>2</v>
      </c>
      <c r="AV5" s="20">
        <v>2</v>
      </c>
      <c r="AW5" s="10">
        <v>2</v>
      </c>
      <c r="AX5" s="20">
        <v>2</v>
      </c>
      <c r="AY5" s="10">
        <v>2</v>
      </c>
      <c r="AZ5" s="20">
        <v>2</v>
      </c>
      <c r="BA5" s="10">
        <v>2</v>
      </c>
      <c r="BB5" s="20">
        <v>2</v>
      </c>
      <c r="BC5" s="10">
        <v>2</v>
      </c>
      <c r="BD5" s="20">
        <v>2</v>
      </c>
      <c r="BE5" s="10">
        <v>2</v>
      </c>
      <c r="BF5" s="20">
        <v>2</v>
      </c>
      <c r="BG5" s="10">
        <v>2</v>
      </c>
      <c r="BH5" s="20">
        <v>2</v>
      </c>
      <c r="BI5" s="10">
        <v>2</v>
      </c>
      <c r="BJ5" s="20">
        <v>2</v>
      </c>
      <c r="BK5" s="10">
        <v>2</v>
      </c>
      <c r="BL5" s="20">
        <v>2</v>
      </c>
      <c r="BM5" s="10">
        <v>2</v>
      </c>
      <c r="BN5" s="20">
        <v>2</v>
      </c>
      <c r="BO5" s="10">
        <v>2</v>
      </c>
      <c r="BP5" s="20">
        <v>2</v>
      </c>
      <c r="BQ5" s="10">
        <v>2</v>
      </c>
      <c r="BR5" s="20">
        <v>2</v>
      </c>
      <c r="BS5" s="10">
        <v>2</v>
      </c>
      <c r="BT5" s="20">
        <v>2</v>
      </c>
      <c r="BU5" s="10">
        <v>2</v>
      </c>
      <c r="BV5" s="20">
        <v>2</v>
      </c>
      <c r="BW5" s="10">
        <v>2</v>
      </c>
      <c r="BX5" s="20">
        <v>2</v>
      </c>
      <c r="BY5" s="10">
        <v>2</v>
      </c>
      <c r="BZ5" s="20">
        <v>2</v>
      </c>
    </row>
    <row r="6" spans="1:78" x14ac:dyDescent="0.25">
      <c r="A6" s="41"/>
      <c r="B6" s="41"/>
      <c r="C6" s="41"/>
      <c r="D6" s="41"/>
      <c r="E6" s="28" t="s">
        <v>126</v>
      </c>
      <c r="F6" s="28" t="s">
        <v>55</v>
      </c>
      <c r="G6" s="18">
        <v>2023083101</v>
      </c>
      <c r="H6" s="19">
        <v>45169</v>
      </c>
      <c r="I6" s="18">
        <v>1702</v>
      </c>
      <c r="J6" s="20">
        <v>3</v>
      </c>
      <c r="K6" s="10">
        <v>3</v>
      </c>
      <c r="L6" s="20">
        <v>3</v>
      </c>
      <c r="M6" s="10">
        <v>3</v>
      </c>
      <c r="N6" s="20">
        <v>3</v>
      </c>
      <c r="O6" s="10">
        <v>3</v>
      </c>
      <c r="P6" s="20">
        <v>3</v>
      </c>
      <c r="Q6" s="10">
        <v>3</v>
      </c>
      <c r="R6" s="20">
        <v>3</v>
      </c>
      <c r="S6" s="10">
        <v>3</v>
      </c>
      <c r="T6" s="20">
        <v>3</v>
      </c>
      <c r="U6" s="10">
        <v>3</v>
      </c>
      <c r="V6" s="20">
        <v>3</v>
      </c>
      <c r="W6" s="10">
        <v>3</v>
      </c>
      <c r="X6" s="20">
        <v>3</v>
      </c>
      <c r="Y6" s="10">
        <v>3</v>
      </c>
      <c r="Z6" s="20">
        <v>3</v>
      </c>
      <c r="AA6" s="10">
        <v>3</v>
      </c>
      <c r="AB6" s="20">
        <v>3</v>
      </c>
      <c r="AC6" s="10">
        <v>3</v>
      </c>
      <c r="AD6" s="20">
        <v>3</v>
      </c>
      <c r="AE6" s="10">
        <v>3</v>
      </c>
      <c r="AF6" s="20">
        <v>3</v>
      </c>
      <c r="AG6" s="10">
        <v>3</v>
      </c>
      <c r="AH6" s="20">
        <v>3</v>
      </c>
      <c r="AI6" s="10">
        <v>3</v>
      </c>
      <c r="AJ6" s="20">
        <v>3</v>
      </c>
      <c r="AK6" s="10">
        <v>3</v>
      </c>
      <c r="AL6" s="20">
        <v>3</v>
      </c>
      <c r="AM6" s="10">
        <v>3</v>
      </c>
      <c r="AN6" s="20">
        <v>3</v>
      </c>
      <c r="AO6" s="10">
        <v>3</v>
      </c>
      <c r="AP6" s="20">
        <v>3</v>
      </c>
      <c r="AQ6" s="10">
        <v>3</v>
      </c>
      <c r="AR6" s="20">
        <v>3</v>
      </c>
      <c r="AS6" s="10">
        <v>3</v>
      </c>
      <c r="AT6" s="20">
        <v>3</v>
      </c>
      <c r="AU6" s="10">
        <v>3</v>
      </c>
      <c r="AV6" s="20">
        <v>3</v>
      </c>
      <c r="AW6" s="10">
        <v>3</v>
      </c>
      <c r="AX6" s="20">
        <v>3</v>
      </c>
      <c r="AY6" s="10">
        <v>3</v>
      </c>
      <c r="AZ6" s="20">
        <v>3</v>
      </c>
      <c r="BA6" s="10">
        <v>3</v>
      </c>
      <c r="BB6" s="20">
        <v>3</v>
      </c>
      <c r="BC6" s="10">
        <v>3</v>
      </c>
      <c r="BD6" s="20">
        <v>3</v>
      </c>
      <c r="BE6" s="10">
        <v>3</v>
      </c>
      <c r="BF6" s="20">
        <v>3</v>
      </c>
      <c r="BG6" s="10">
        <v>3</v>
      </c>
      <c r="BH6" s="20">
        <v>3</v>
      </c>
      <c r="BI6" s="10">
        <v>3</v>
      </c>
      <c r="BJ6" s="20">
        <v>3</v>
      </c>
      <c r="BK6" s="10">
        <v>3</v>
      </c>
      <c r="BL6" s="20">
        <v>3</v>
      </c>
      <c r="BM6" s="10">
        <v>3</v>
      </c>
      <c r="BN6" s="20">
        <v>3</v>
      </c>
      <c r="BO6" s="10">
        <v>3</v>
      </c>
      <c r="BP6" s="20">
        <v>3</v>
      </c>
      <c r="BQ6" s="10">
        <v>3</v>
      </c>
      <c r="BR6" s="20">
        <v>3</v>
      </c>
      <c r="BS6" s="10">
        <v>3</v>
      </c>
      <c r="BT6" s="20">
        <v>3</v>
      </c>
      <c r="BU6" s="10">
        <v>3</v>
      </c>
      <c r="BV6" s="20">
        <v>3</v>
      </c>
      <c r="BW6" s="10">
        <v>3</v>
      </c>
      <c r="BX6" s="20">
        <v>3</v>
      </c>
      <c r="BY6" s="10">
        <v>3</v>
      </c>
      <c r="BZ6" s="20">
        <v>3</v>
      </c>
    </row>
    <row r="7" spans="1:78" x14ac:dyDescent="0.25">
      <c r="A7" s="41"/>
      <c r="B7" s="42"/>
      <c r="C7" s="42"/>
      <c r="D7" s="42"/>
      <c r="E7" s="18" t="s">
        <v>0</v>
      </c>
      <c r="F7" s="18" t="s">
        <v>0</v>
      </c>
      <c r="G7" s="18" t="s">
        <v>56</v>
      </c>
      <c r="H7" s="18" t="s">
        <v>0</v>
      </c>
      <c r="I7" s="10" t="s">
        <v>0</v>
      </c>
      <c r="J7" s="20"/>
      <c r="K7" s="10"/>
      <c r="L7" s="20"/>
      <c r="M7" s="10"/>
      <c r="N7" s="20"/>
      <c r="O7" s="10"/>
      <c r="P7" s="20"/>
      <c r="Q7" s="10"/>
      <c r="R7" s="20"/>
      <c r="S7" s="10"/>
      <c r="T7" s="20"/>
      <c r="U7" s="10"/>
      <c r="V7" s="20"/>
      <c r="W7" s="10"/>
      <c r="X7" s="20"/>
      <c r="Y7" s="10"/>
      <c r="Z7" s="20"/>
      <c r="AA7" s="10"/>
      <c r="AB7" s="20"/>
      <c r="AC7" s="10"/>
      <c r="AD7" s="20"/>
      <c r="AE7" s="10"/>
      <c r="AF7" s="20"/>
      <c r="AG7" s="10"/>
      <c r="AH7" s="20"/>
      <c r="AI7" s="10"/>
      <c r="AJ7" s="20"/>
      <c r="AK7" s="10"/>
      <c r="AL7" s="20"/>
      <c r="AM7" s="10"/>
      <c r="AN7" s="20"/>
      <c r="AO7" s="10"/>
      <c r="AP7" s="20"/>
      <c r="AQ7" s="10"/>
      <c r="AR7" s="20"/>
      <c r="AS7" s="10"/>
      <c r="AT7" s="20"/>
      <c r="AU7" s="10"/>
      <c r="AV7" s="20"/>
      <c r="AW7" s="10"/>
      <c r="AX7" s="20"/>
      <c r="AY7" s="10"/>
      <c r="AZ7" s="20"/>
      <c r="BA7" s="10"/>
      <c r="BB7" s="20"/>
      <c r="BC7" s="10"/>
      <c r="BD7" s="20"/>
      <c r="BE7" s="10"/>
      <c r="BF7" s="20"/>
      <c r="BG7" s="10"/>
      <c r="BH7" s="20"/>
      <c r="BI7" s="10"/>
      <c r="BJ7" s="20"/>
      <c r="BK7" s="10"/>
      <c r="BL7" s="20"/>
      <c r="BM7" s="10"/>
      <c r="BN7" s="20"/>
      <c r="BO7" s="10"/>
      <c r="BP7" s="20"/>
      <c r="BQ7" s="10"/>
      <c r="BR7" s="20"/>
      <c r="BS7" s="10"/>
      <c r="BT7" s="20"/>
      <c r="BU7" s="10"/>
      <c r="BV7" s="20"/>
      <c r="BW7" s="10"/>
      <c r="BX7" s="20"/>
      <c r="BY7" s="10"/>
      <c r="BZ7" s="20"/>
    </row>
    <row r="8" spans="1:78" x14ac:dyDescent="0.25">
      <c r="A8" s="41"/>
      <c r="B8" s="40" t="s">
        <v>57</v>
      </c>
      <c r="C8" s="40" t="s">
        <v>52</v>
      </c>
      <c r="D8" s="40" t="s">
        <v>0</v>
      </c>
      <c r="E8" s="28" t="s">
        <v>127</v>
      </c>
      <c r="F8" s="28" t="s">
        <v>58</v>
      </c>
      <c r="G8" s="18">
        <v>2023083101</v>
      </c>
      <c r="H8" s="19">
        <v>45169</v>
      </c>
      <c r="I8" s="18">
        <v>1710</v>
      </c>
      <c r="J8" s="20">
        <v>5</v>
      </c>
      <c r="K8" s="10">
        <v>5</v>
      </c>
      <c r="L8" s="20">
        <v>5</v>
      </c>
      <c r="M8" s="10">
        <v>5</v>
      </c>
      <c r="N8" s="20">
        <v>5</v>
      </c>
      <c r="O8" s="10">
        <v>5</v>
      </c>
      <c r="P8" s="20">
        <v>5</v>
      </c>
      <c r="Q8" s="10">
        <v>5</v>
      </c>
      <c r="R8" s="20">
        <v>5</v>
      </c>
      <c r="S8" s="10">
        <v>5</v>
      </c>
      <c r="T8" s="20">
        <v>5</v>
      </c>
      <c r="U8" s="10">
        <v>5</v>
      </c>
      <c r="V8" s="20">
        <v>5</v>
      </c>
      <c r="W8" s="10">
        <v>5</v>
      </c>
      <c r="X8" s="20">
        <v>5</v>
      </c>
      <c r="Y8" s="10">
        <v>5</v>
      </c>
      <c r="Z8" s="20">
        <v>5</v>
      </c>
      <c r="AA8" s="10">
        <v>5</v>
      </c>
      <c r="AB8" s="20">
        <v>5</v>
      </c>
      <c r="AC8" s="10">
        <v>5</v>
      </c>
      <c r="AD8" s="20">
        <v>5</v>
      </c>
      <c r="AE8" s="10">
        <v>5</v>
      </c>
      <c r="AF8" s="20">
        <v>5</v>
      </c>
      <c r="AG8" s="10">
        <v>5</v>
      </c>
      <c r="AH8" s="20">
        <v>5</v>
      </c>
      <c r="AI8" s="10">
        <v>5</v>
      </c>
      <c r="AJ8" s="20">
        <v>5</v>
      </c>
      <c r="AK8" s="10">
        <v>5</v>
      </c>
      <c r="AL8" s="20">
        <v>5</v>
      </c>
      <c r="AM8" s="10">
        <v>5</v>
      </c>
      <c r="AN8" s="20">
        <v>5</v>
      </c>
      <c r="AO8" s="10">
        <v>5</v>
      </c>
      <c r="AP8" s="20">
        <v>5</v>
      </c>
      <c r="AQ8" s="10">
        <v>5</v>
      </c>
      <c r="AR8" s="20">
        <v>5</v>
      </c>
      <c r="AS8" s="10">
        <v>5</v>
      </c>
      <c r="AT8" s="20">
        <v>5</v>
      </c>
      <c r="AU8" s="10">
        <v>5</v>
      </c>
      <c r="AV8" s="20">
        <v>5</v>
      </c>
      <c r="AW8" s="10">
        <v>5</v>
      </c>
      <c r="AX8" s="20">
        <v>5</v>
      </c>
      <c r="AY8" s="10">
        <v>5</v>
      </c>
      <c r="AZ8" s="20">
        <v>5</v>
      </c>
      <c r="BA8" s="10">
        <v>5</v>
      </c>
      <c r="BB8" s="20">
        <v>5</v>
      </c>
      <c r="BC8" s="10">
        <v>5</v>
      </c>
      <c r="BD8" s="20">
        <v>5</v>
      </c>
      <c r="BE8" s="10">
        <v>5</v>
      </c>
      <c r="BF8" s="20">
        <v>5</v>
      </c>
      <c r="BG8" s="10">
        <v>5</v>
      </c>
      <c r="BH8" s="20">
        <v>5</v>
      </c>
      <c r="BI8" s="10">
        <v>5</v>
      </c>
      <c r="BJ8" s="20">
        <v>5</v>
      </c>
      <c r="BK8" s="10">
        <v>5</v>
      </c>
      <c r="BL8" s="20">
        <v>5</v>
      </c>
      <c r="BM8" s="10">
        <v>5</v>
      </c>
      <c r="BN8" s="20">
        <v>5</v>
      </c>
      <c r="BO8" s="10">
        <v>5</v>
      </c>
      <c r="BP8" s="20">
        <v>5</v>
      </c>
      <c r="BQ8" s="10">
        <v>5</v>
      </c>
      <c r="BR8" s="20">
        <v>5</v>
      </c>
      <c r="BS8" s="10">
        <v>5</v>
      </c>
      <c r="BT8" s="20">
        <v>5</v>
      </c>
      <c r="BU8" s="10">
        <v>5</v>
      </c>
      <c r="BV8" s="20">
        <v>5</v>
      </c>
      <c r="BW8" s="10">
        <v>5</v>
      </c>
      <c r="BX8" s="20">
        <v>5</v>
      </c>
      <c r="BY8" s="10">
        <v>5</v>
      </c>
      <c r="BZ8" s="20">
        <v>5</v>
      </c>
    </row>
    <row r="9" spans="1:78" x14ac:dyDescent="0.25">
      <c r="A9" s="41"/>
      <c r="B9" s="41"/>
      <c r="C9" s="41"/>
      <c r="D9" s="41"/>
      <c r="E9" s="28" t="s">
        <v>128</v>
      </c>
      <c r="F9" s="28" t="s">
        <v>59</v>
      </c>
      <c r="G9" s="18">
        <v>2023083101</v>
      </c>
      <c r="H9" s="19">
        <v>45169</v>
      </c>
      <c r="I9" s="18">
        <v>1711</v>
      </c>
      <c r="J9" s="20">
        <v>6</v>
      </c>
      <c r="K9" s="10">
        <v>6</v>
      </c>
      <c r="L9" s="20">
        <v>6</v>
      </c>
      <c r="M9" s="10">
        <v>6</v>
      </c>
      <c r="N9" s="20">
        <v>6</v>
      </c>
      <c r="O9" s="10">
        <v>6</v>
      </c>
      <c r="P9" s="20">
        <v>6</v>
      </c>
      <c r="Q9" s="10">
        <v>6</v>
      </c>
      <c r="R9" s="20">
        <v>6</v>
      </c>
      <c r="S9" s="10">
        <v>6</v>
      </c>
      <c r="T9" s="20">
        <v>6</v>
      </c>
      <c r="U9" s="10">
        <v>6</v>
      </c>
      <c r="V9" s="20">
        <v>6</v>
      </c>
      <c r="W9" s="10">
        <v>6</v>
      </c>
      <c r="X9" s="20">
        <v>6</v>
      </c>
      <c r="Y9" s="10">
        <v>6</v>
      </c>
      <c r="Z9" s="20">
        <v>6</v>
      </c>
      <c r="AA9" s="10">
        <v>6</v>
      </c>
      <c r="AB9" s="20">
        <v>6</v>
      </c>
      <c r="AC9" s="10">
        <v>6</v>
      </c>
      <c r="AD9" s="20">
        <v>6</v>
      </c>
      <c r="AE9" s="10">
        <v>6</v>
      </c>
      <c r="AF9" s="20">
        <v>6</v>
      </c>
      <c r="AG9" s="10">
        <v>6</v>
      </c>
      <c r="AH9" s="20">
        <v>6</v>
      </c>
      <c r="AI9" s="10">
        <v>6</v>
      </c>
      <c r="AJ9" s="20">
        <v>6</v>
      </c>
      <c r="AK9" s="10">
        <v>6</v>
      </c>
      <c r="AL9" s="20">
        <v>6</v>
      </c>
      <c r="AM9" s="10">
        <v>6</v>
      </c>
      <c r="AN9" s="20">
        <v>6</v>
      </c>
      <c r="AO9" s="10">
        <v>6</v>
      </c>
      <c r="AP9" s="20">
        <v>6</v>
      </c>
      <c r="AQ9" s="10">
        <v>6</v>
      </c>
      <c r="AR9" s="20">
        <v>6</v>
      </c>
      <c r="AS9" s="10">
        <v>6</v>
      </c>
      <c r="AT9" s="20">
        <v>6</v>
      </c>
      <c r="AU9" s="10">
        <v>6</v>
      </c>
      <c r="AV9" s="20">
        <v>6</v>
      </c>
      <c r="AW9" s="10">
        <v>6</v>
      </c>
      <c r="AX9" s="20">
        <v>6</v>
      </c>
      <c r="AY9" s="10">
        <v>6</v>
      </c>
      <c r="AZ9" s="20">
        <v>6</v>
      </c>
      <c r="BA9" s="10">
        <v>6</v>
      </c>
      <c r="BB9" s="20">
        <v>6</v>
      </c>
      <c r="BC9" s="10">
        <v>6</v>
      </c>
      <c r="BD9" s="20">
        <v>6</v>
      </c>
      <c r="BE9" s="10">
        <v>6</v>
      </c>
      <c r="BF9" s="20">
        <v>6</v>
      </c>
      <c r="BG9" s="10">
        <v>6</v>
      </c>
      <c r="BH9" s="20">
        <v>6</v>
      </c>
      <c r="BI9" s="10">
        <v>6</v>
      </c>
      <c r="BJ9" s="20">
        <v>6</v>
      </c>
      <c r="BK9" s="10">
        <v>6</v>
      </c>
      <c r="BL9" s="20">
        <v>6</v>
      </c>
      <c r="BM9" s="10">
        <v>6</v>
      </c>
      <c r="BN9" s="20">
        <v>6</v>
      </c>
      <c r="BO9" s="10">
        <v>6</v>
      </c>
      <c r="BP9" s="20">
        <v>6</v>
      </c>
      <c r="BQ9" s="10">
        <v>6</v>
      </c>
      <c r="BR9" s="20">
        <v>6</v>
      </c>
      <c r="BS9" s="10">
        <v>6</v>
      </c>
      <c r="BT9" s="20">
        <v>6</v>
      </c>
      <c r="BU9" s="10">
        <v>6</v>
      </c>
      <c r="BV9" s="20">
        <v>6</v>
      </c>
      <c r="BW9" s="10">
        <v>6</v>
      </c>
      <c r="BX9" s="20">
        <v>6</v>
      </c>
      <c r="BY9" s="10">
        <v>6</v>
      </c>
      <c r="BZ9" s="20">
        <v>6</v>
      </c>
    </row>
    <row r="10" spans="1:78" x14ac:dyDescent="0.25">
      <c r="A10" s="41"/>
      <c r="B10" s="41"/>
      <c r="C10" s="41"/>
      <c r="D10" s="41"/>
      <c r="E10" s="28" t="s">
        <v>129</v>
      </c>
      <c r="F10" s="28" t="s">
        <v>130</v>
      </c>
      <c r="G10" s="18">
        <v>2023083101</v>
      </c>
      <c r="H10" s="19">
        <v>45169</v>
      </c>
      <c r="I10" s="18">
        <v>1712</v>
      </c>
      <c r="J10" s="20">
        <v>7</v>
      </c>
      <c r="K10" s="10">
        <v>7</v>
      </c>
      <c r="L10" s="20">
        <v>7</v>
      </c>
      <c r="M10" s="10">
        <v>7</v>
      </c>
      <c r="N10" s="20">
        <v>7</v>
      </c>
      <c r="O10" s="10">
        <v>7</v>
      </c>
      <c r="P10" s="20">
        <v>7</v>
      </c>
      <c r="Q10" s="10">
        <v>7</v>
      </c>
      <c r="R10" s="20">
        <v>7</v>
      </c>
      <c r="S10" s="10">
        <v>7</v>
      </c>
      <c r="T10" s="20">
        <v>7</v>
      </c>
      <c r="U10" s="10">
        <v>7</v>
      </c>
      <c r="V10" s="20">
        <v>7</v>
      </c>
      <c r="W10" s="10">
        <v>7</v>
      </c>
      <c r="X10" s="20">
        <v>7</v>
      </c>
      <c r="Y10" s="10">
        <v>7</v>
      </c>
      <c r="Z10" s="20">
        <v>7</v>
      </c>
      <c r="AA10" s="10">
        <v>7</v>
      </c>
      <c r="AB10" s="20">
        <v>7</v>
      </c>
      <c r="AC10" s="10">
        <v>7</v>
      </c>
      <c r="AD10" s="20">
        <v>7</v>
      </c>
      <c r="AE10" s="10">
        <v>7</v>
      </c>
      <c r="AF10" s="20">
        <v>7</v>
      </c>
      <c r="AG10" s="10">
        <v>7</v>
      </c>
      <c r="AH10" s="20">
        <v>7</v>
      </c>
      <c r="AI10" s="10">
        <v>7</v>
      </c>
      <c r="AJ10" s="20">
        <v>7</v>
      </c>
      <c r="AK10" s="10">
        <v>7</v>
      </c>
      <c r="AL10" s="20">
        <v>7</v>
      </c>
      <c r="AM10" s="10">
        <v>7</v>
      </c>
      <c r="AN10" s="20">
        <v>7</v>
      </c>
      <c r="AO10" s="10">
        <v>7</v>
      </c>
      <c r="AP10" s="20">
        <v>7</v>
      </c>
      <c r="AQ10" s="10">
        <v>7</v>
      </c>
      <c r="AR10" s="20">
        <v>7</v>
      </c>
      <c r="AS10" s="10">
        <v>7</v>
      </c>
      <c r="AT10" s="20">
        <v>7</v>
      </c>
      <c r="AU10" s="10">
        <v>7</v>
      </c>
      <c r="AV10" s="20">
        <v>7</v>
      </c>
      <c r="AW10" s="10">
        <v>7</v>
      </c>
      <c r="AX10" s="20">
        <v>7</v>
      </c>
      <c r="AY10" s="10">
        <v>7</v>
      </c>
      <c r="AZ10" s="20">
        <v>7</v>
      </c>
      <c r="BA10" s="10">
        <v>7</v>
      </c>
      <c r="BB10" s="20">
        <v>7</v>
      </c>
      <c r="BC10" s="10">
        <v>7</v>
      </c>
      <c r="BD10" s="20">
        <v>7</v>
      </c>
      <c r="BE10" s="10">
        <v>7</v>
      </c>
      <c r="BF10" s="20">
        <v>7</v>
      </c>
      <c r="BG10" s="10">
        <v>7</v>
      </c>
      <c r="BH10" s="20">
        <v>7</v>
      </c>
      <c r="BI10" s="10">
        <v>7</v>
      </c>
      <c r="BJ10" s="20">
        <v>7</v>
      </c>
      <c r="BK10" s="10">
        <v>7</v>
      </c>
      <c r="BL10" s="20">
        <v>7</v>
      </c>
      <c r="BM10" s="10">
        <v>7</v>
      </c>
      <c r="BN10" s="20">
        <v>7</v>
      </c>
      <c r="BO10" s="10">
        <v>7</v>
      </c>
      <c r="BP10" s="20">
        <v>7</v>
      </c>
      <c r="BQ10" s="10">
        <v>7</v>
      </c>
      <c r="BR10" s="20">
        <v>7</v>
      </c>
      <c r="BS10" s="10">
        <v>7</v>
      </c>
      <c r="BT10" s="20">
        <v>7</v>
      </c>
      <c r="BU10" s="10">
        <v>7</v>
      </c>
      <c r="BV10" s="20">
        <v>7</v>
      </c>
      <c r="BW10" s="10">
        <v>7</v>
      </c>
      <c r="BX10" s="20">
        <v>7</v>
      </c>
      <c r="BY10" s="10">
        <v>7</v>
      </c>
      <c r="BZ10" s="20">
        <v>7</v>
      </c>
    </row>
    <row r="11" spans="1:78" x14ac:dyDescent="0.25">
      <c r="A11" s="41"/>
      <c r="B11" s="41"/>
      <c r="C11" s="41"/>
      <c r="D11" s="41"/>
      <c r="E11" s="28" t="s">
        <v>131</v>
      </c>
      <c r="F11" s="28" t="s">
        <v>60</v>
      </c>
      <c r="G11" s="18">
        <v>2023083101</v>
      </c>
      <c r="H11" s="19">
        <v>45169</v>
      </c>
      <c r="I11" s="18">
        <v>1713</v>
      </c>
      <c r="J11" s="20">
        <v>8</v>
      </c>
      <c r="K11" s="10">
        <v>8</v>
      </c>
      <c r="L11" s="20">
        <v>8</v>
      </c>
      <c r="M11" s="10">
        <v>8</v>
      </c>
      <c r="N11" s="20">
        <v>8</v>
      </c>
      <c r="O11" s="10">
        <v>8</v>
      </c>
      <c r="P11" s="20">
        <v>8</v>
      </c>
      <c r="Q11" s="10">
        <v>8</v>
      </c>
      <c r="R11" s="20">
        <v>8</v>
      </c>
      <c r="S11" s="10">
        <v>8</v>
      </c>
      <c r="T11" s="20">
        <v>8</v>
      </c>
      <c r="U11" s="10">
        <v>8</v>
      </c>
      <c r="V11" s="20">
        <v>8</v>
      </c>
      <c r="W11" s="10">
        <v>8</v>
      </c>
      <c r="X11" s="20">
        <v>8</v>
      </c>
      <c r="Y11" s="10">
        <v>8</v>
      </c>
      <c r="Z11" s="20">
        <v>8</v>
      </c>
      <c r="AA11" s="10">
        <v>8</v>
      </c>
      <c r="AB11" s="20">
        <v>8</v>
      </c>
      <c r="AC11" s="10">
        <v>8</v>
      </c>
      <c r="AD11" s="20">
        <v>8</v>
      </c>
      <c r="AE11" s="10">
        <v>8</v>
      </c>
      <c r="AF11" s="20">
        <v>8</v>
      </c>
      <c r="AG11" s="10">
        <v>8</v>
      </c>
      <c r="AH11" s="20">
        <v>8</v>
      </c>
      <c r="AI11" s="10">
        <v>8</v>
      </c>
      <c r="AJ11" s="20">
        <v>8</v>
      </c>
      <c r="AK11" s="10">
        <v>8</v>
      </c>
      <c r="AL11" s="20">
        <v>8</v>
      </c>
      <c r="AM11" s="10">
        <v>8</v>
      </c>
      <c r="AN11" s="20">
        <v>8</v>
      </c>
      <c r="AO11" s="10">
        <v>8</v>
      </c>
      <c r="AP11" s="20">
        <v>8</v>
      </c>
      <c r="AQ11" s="10">
        <v>8</v>
      </c>
      <c r="AR11" s="20">
        <v>8</v>
      </c>
      <c r="AS11" s="10">
        <v>8</v>
      </c>
      <c r="AT11" s="20">
        <v>8</v>
      </c>
      <c r="AU11" s="10">
        <v>8</v>
      </c>
      <c r="AV11" s="20">
        <v>8</v>
      </c>
      <c r="AW11" s="10">
        <v>8</v>
      </c>
      <c r="AX11" s="20">
        <v>8</v>
      </c>
      <c r="AY11" s="10">
        <v>8</v>
      </c>
      <c r="AZ11" s="20">
        <v>8</v>
      </c>
      <c r="BA11" s="10">
        <v>8</v>
      </c>
      <c r="BB11" s="20">
        <v>8</v>
      </c>
      <c r="BC11" s="10">
        <v>8</v>
      </c>
      <c r="BD11" s="20">
        <v>8</v>
      </c>
      <c r="BE11" s="10">
        <v>8</v>
      </c>
      <c r="BF11" s="20">
        <v>8</v>
      </c>
      <c r="BG11" s="10">
        <v>8</v>
      </c>
      <c r="BH11" s="20">
        <v>8</v>
      </c>
      <c r="BI11" s="10">
        <v>8</v>
      </c>
      <c r="BJ11" s="20">
        <v>8</v>
      </c>
      <c r="BK11" s="10">
        <v>8</v>
      </c>
      <c r="BL11" s="20">
        <v>8</v>
      </c>
      <c r="BM11" s="10">
        <v>8</v>
      </c>
      <c r="BN11" s="20">
        <v>8</v>
      </c>
      <c r="BO11" s="10">
        <v>8</v>
      </c>
      <c r="BP11" s="20">
        <v>8</v>
      </c>
      <c r="BQ11" s="10">
        <v>8</v>
      </c>
      <c r="BR11" s="20">
        <v>8</v>
      </c>
      <c r="BS11" s="10">
        <v>8</v>
      </c>
      <c r="BT11" s="20">
        <v>8</v>
      </c>
      <c r="BU11" s="10">
        <v>8</v>
      </c>
      <c r="BV11" s="20">
        <v>8</v>
      </c>
      <c r="BW11" s="10">
        <v>8</v>
      </c>
      <c r="BX11" s="20">
        <v>8</v>
      </c>
      <c r="BY11" s="10">
        <v>8</v>
      </c>
      <c r="BZ11" s="20">
        <v>8</v>
      </c>
    </row>
    <row r="12" spans="1:78" x14ac:dyDescent="0.25">
      <c r="A12" s="41"/>
      <c r="B12" s="41"/>
      <c r="C12" s="41"/>
      <c r="D12" s="41"/>
      <c r="E12" s="28" t="s">
        <v>132</v>
      </c>
      <c r="F12" s="28" t="s">
        <v>61</v>
      </c>
      <c r="G12" s="18">
        <v>2023083101</v>
      </c>
      <c r="H12" s="19">
        <v>45169</v>
      </c>
      <c r="I12" s="18">
        <v>1714</v>
      </c>
      <c r="J12" s="20">
        <v>9</v>
      </c>
      <c r="K12" s="10">
        <v>9</v>
      </c>
      <c r="L12" s="20">
        <v>9</v>
      </c>
      <c r="M12" s="10">
        <v>9</v>
      </c>
      <c r="N12" s="20">
        <v>9</v>
      </c>
      <c r="O12" s="10">
        <v>9</v>
      </c>
      <c r="P12" s="20">
        <v>9</v>
      </c>
      <c r="Q12" s="10">
        <v>9</v>
      </c>
      <c r="R12" s="20">
        <v>9</v>
      </c>
      <c r="S12" s="10">
        <v>9</v>
      </c>
      <c r="T12" s="20">
        <v>9</v>
      </c>
      <c r="U12" s="10">
        <v>9</v>
      </c>
      <c r="V12" s="20">
        <v>9</v>
      </c>
      <c r="W12" s="10">
        <v>9</v>
      </c>
      <c r="X12" s="20">
        <v>9</v>
      </c>
      <c r="Y12" s="10">
        <v>9</v>
      </c>
      <c r="Z12" s="20">
        <v>9</v>
      </c>
      <c r="AA12" s="10">
        <v>9</v>
      </c>
      <c r="AB12" s="20">
        <v>9</v>
      </c>
      <c r="AC12" s="10">
        <v>9</v>
      </c>
      <c r="AD12" s="20">
        <v>9</v>
      </c>
      <c r="AE12" s="10">
        <v>9</v>
      </c>
      <c r="AF12" s="20">
        <v>9</v>
      </c>
      <c r="AG12" s="10">
        <v>9</v>
      </c>
      <c r="AH12" s="20">
        <v>9</v>
      </c>
      <c r="AI12" s="10">
        <v>9</v>
      </c>
      <c r="AJ12" s="20">
        <v>9</v>
      </c>
      <c r="AK12" s="10">
        <v>9</v>
      </c>
      <c r="AL12" s="20">
        <v>9</v>
      </c>
      <c r="AM12" s="10">
        <v>9</v>
      </c>
      <c r="AN12" s="20">
        <v>9</v>
      </c>
      <c r="AO12" s="10">
        <v>9</v>
      </c>
      <c r="AP12" s="20">
        <v>9</v>
      </c>
      <c r="AQ12" s="10">
        <v>9</v>
      </c>
      <c r="AR12" s="20">
        <v>9</v>
      </c>
      <c r="AS12" s="10">
        <v>9</v>
      </c>
      <c r="AT12" s="20">
        <v>9</v>
      </c>
      <c r="AU12" s="10">
        <v>9</v>
      </c>
      <c r="AV12" s="20">
        <v>9</v>
      </c>
      <c r="AW12" s="10">
        <v>9</v>
      </c>
      <c r="AX12" s="20">
        <v>9</v>
      </c>
      <c r="AY12" s="10">
        <v>9</v>
      </c>
      <c r="AZ12" s="20">
        <v>9</v>
      </c>
      <c r="BA12" s="10">
        <v>9</v>
      </c>
      <c r="BB12" s="20">
        <v>9</v>
      </c>
      <c r="BC12" s="10">
        <v>9</v>
      </c>
      <c r="BD12" s="20">
        <v>9</v>
      </c>
      <c r="BE12" s="10">
        <v>9</v>
      </c>
      <c r="BF12" s="20">
        <v>9</v>
      </c>
      <c r="BG12" s="10">
        <v>9</v>
      </c>
      <c r="BH12" s="20">
        <v>9</v>
      </c>
      <c r="BI12" s="10">
        <v>9</v>
      </c>
      <c r="BJ12" s="20">
        <v>9</v>
      </c>
      <c r="BK12" s="10">
        <v>9</v>
      </c>
      <c r="BL12" s="20">
        <v>9</v>
      </c>
      <c r="BM12" s="10">
        <v>9</v>
      </c>
      <c r="BN12" s="20">
        <v>9</v>
      </c>
      <c r="BO12" s="10">
        <v>9</v>
      </c>
      <c r="BP12" s="20">
        <v>9</v>
      </c>
      <c r="BQ12" s="10">
        <v>9</v>
      </c>
      <c r="BR12" s="20">
        <v>9</v>
      </c>
      <c r="BS12" s="10">
        <v>9</v>
      </c>
      <c r="BT12" s="20">
        <v>9</v>
      </c>
      <c r="BU12" s="10">
        <v>9</v>
      </c>
      <c r="BV12" s="20">
        <v>9</v>
      </c>
      <c r="BW12" s="10">
        <v>9</v>
      </c>
      <c r="BX12" s="20">
        <v>9</v>
      </c>
      <c r="BY12" s="10">
        <v>9</v>
      </c>
      <c r="BZ12" s="20">
        <v>9</v>
      </c>
    </row>
    <row r="13" spans="1:78" x14ac:dyDescent="0.25">
      <c r="A13" s="41"/>
      <c r="B13" s="42"/>
      <c r="C13" s="42"/>
      <c r="D13" s="42"/>
      <c r="E13" s="18" t="s">
        <v>0</v>
      </c>
      <c r="F13" s="18" t="s">
        <v>0</v>
      </c>
      <c r="G13" s="18" t="s">
        <v>56</v>
      </c>
      <c r="H13" s="18" t="s">
        <v>0</v>
      </c>
      <c r="I13" s="10" t="s">
        <v>0</v>
      </c>
      <c r="J13" s="20"/>
      <c r="K13" s="10"/>
      <c r="L13" s="20"/>
      <c r="M13" s="10"/>
      <c r="N13" s="20"/>
      <c r="O13" s="10"/>
      <c r="P13" s="20"/>
      <c r="Q13" s="10"/>
      <c r="R13" s="20"/>
      <c r="S13" s="10"/>
      <c r="T13" s="20"/>
      <c r="U13" s="10"/>
      <c r="V13" s="20"/>
      <c r="W13" s="10"/>
      <c r="X13" s="20"/>
      <c r="Y13" s="10"/>
      <c r="Z13" s="20"/>
      <c r="AA13" s="10"/>
      <c r="AB13" s="20"/>
      <c r="AC13" s="10"/>
      <c r="AD13" s="20"/>
      <c r="AE13" s="10"/>
      <c r="AF13" s="20"/>
      <c r="AG13" s="10"/>
      <c r="AH13" s="20"/>
      <c r="AI13" s="10"/>
      <c r="AJ13" s="20"/>
      <c r="AK13" s="10"/>
      <c r="AL13" s="20"/>
      <c r="AM13" s="10"/>
      <c r="AN13" s="20"/>
      <c r="AO13" s="10"/>
      <c r="AP13" s="20"/>
      <c r="AQ13" s="10"/>
      <c r="AR13" s="20"/>
      <c r="AS13" s="10"/>
      <c r="AT13" s="20"/>
      <c r="AU13" s="10"/>
      <c r="AV13" s="20"/>
      <c r="AW13" s="10"/>
      <c r="AX13" s="20"/>
      <c r="AY13" s="10"/>
      <c r="AZ13" s="20"/>
      <c r="BA13" s="10"/>
      <c r="BB13" s="20"/>
      <c r="BC13" s="10"/>
      <c r="BD13" s="20"/>
      <c r="BE13" s="10"/>
      <c r="BF13" s="20"/>
      <c r="BG13" s="10"/>
      <c r="BH13" s="20"/>
      <c r="BI13" s="10"/>
      <c r="BJ13" s="20"/>
      <c r="BK13" s="10"/>
      <c r="BL13" s="20"/>
      <c r="BM13" s="10"/>
      <c r="BN13" s="20"/>
      <c r="BO13" s="10"/>
      <c r="BP13" s="20"/>
      <c r="BQ13" s="10"/>
      <c r="BR13" s="20"/>
      <c r="BS13" s="10"/>
      <c r="BT13" s="20"/>
      <c r="BU13" s="10"/>
      <c r="BV13" s="20"/>
      <c r="BW13" s="10"/>
      <c r="BX13" s="20"/>
      <c r="BY13" s="10"/>
      <c r="BZ13" s="20"/>
    </row>
    <row r="14" spans="1:78" x14ac:dyDescent="0.25">
      <c r="A14" s="41"/>
      <c r="B14" s="40" t="s">
        <v>62</v>
      </c>
      <c r="C14" s="40" t="s">
        <v>52</v>
      </c>
      <c r="D14" s="40" t="s">
        <v>0</v>
      </c>
      <c r="E14" s="28" t="s">
        <v>133</v>
      </c>
      <c r="F14" s="28" t="s">
        <v>63</v>
      </c>
      <c r="G14" s="18">
        <v>2023083101</v>
      </c>
      <c r="H14" s="19">
        <v>45169</v>
      </c>
      <c r="I14" s="18">
        <v>1703</v>
      </c>
      <c r="J14" s="20">
        <v>11</v>
      </c>
      <c r="K14" s="10">
        <v>11</v>
      </c>
      <c r="L14" s="20">
        <v>11</v>
      </c>
      <c r="M14" s="10">
        <v>11</v>
      </c>
      <c r="N14" s="20">
        <v>11</v>
      </c>
      <c r="O14" s="10">
        <v>11</v>
      </c>
      <c r="P14" s="20">
        <v>11</v>
      </c>
      <c r="Q14" s="10">
        <v>11</v>
      </c>
      <c r="R14" s="20">
        <v>11</v>
      </c>
      <c r="S14" s="10">
        <v>11</v>
      </c>
      <c r="T14" s="20">
        <v>11</v>
      </c>
      <c r="U14" s="10">
        <v>11</v>
      </c>
      <c r="V14" s="20">
        <v>11</v>
      </c>
      <c r="W14" s="10">
        <v>11</v>
      </c>
      <c r="X14" s="20">
        <v>11</v>
      </c>
      <c r="Y14" s="10">
        <v>11</v>
      </c>
      <c r="Z14" s="20">
        <v>11</v>
      </c>
      <c r="AA14" s="10">
        <v>11</v>
      </c>
      <c r="AB14" s="20">
        <v>11</v>
      </c>
      <c r="AC14" s="10">
        <v>11</v>
      </c>
      <c r="AD14" s="20">
        <v>11</v>
      </c>
      <c r="AE14" s="10">
        <v>11</v>
      </c>
      <c r="AF14" s="20">
        <v>11</v>
      </c>
      <c r="AG14" s="10">
        <v>11</v>
      </c>
      <c r="AH14" s="20">
        <v>11</v>
      </c>
      <c r="AI14" s="10">
        <v>11</v>
      </c>
      <c r="AJ14" s="20">
        <v>11</v>
      </c>
      <c r="AK14" s="10">
        <v>11</v>
      </c>
      <c r="AL14" s="20">
        <v>11</v>
      </c>
      <c r="AM14" s="10">
        <v>11</v>
      </c>
      <c r="AN14" s="20">
        <v>11</v>
      </c>
      <c r="AO14" s="10">
        <v>11</v>
      </c>
      <c r="AP14" s="20">
        <v>11</v>
      </c>
      <c r="AQ14" s="10">
        <v>11</v>
      </c>
      <c r="AR14" s="20">
        <v>11</v>
      </c>
      <c r="AS14" s="10">
        <v>11</v>
      </c>
      <c r="AT14" s="20">
        <v>11</v>
      </c>
      <c r="AU14" s="10">
        <v>11</v>
      </c>
      <c r="AV14" s="20">
        <v>11</v>
      </c>
      <c r="AW14" s="10">
        <v>11</v>
      </c>
      <c r="AX14" s="20">
        <v>11</v>
      </c>
      <c r="AY14" s="10">
        <v>11</v>
      </c>
      <c r="AZ14" s="20">
        <v>11</v>
      </c>
      <c r="BA14" s="10">
        <v>11</v>
      </c>
      <c r="BB14" s="20">
        <v>11</v>
      </c>
      <c r="BC14" s="10">
        <v>11</v>
      </c>
      <c r="BD14" s="20">
        <v>11</v>
      </c>
      <c r="BE14" s="10">
        <v>11</v>
      </c>
      <c r="BF14" s="20">
        <v>11</v>
      </c>
      <c r="BG14" s="10">
        <v>11</v>
      </c>
      <c r="BH14" s="20">
        <v>11</v>
      </c>
      <c r="BI14" s="10">
        <v>11</v>
      </c>
      <c r="BJ14" s="20">
        <v>11</v>
      </c>
      <c r="BK14" s="10">
        <v>11</v>
      </c>
      <c r="BL14" s="20">
        <v>11</v>
      </c>
      <c r="BM14" s="10">
        <v>11</v>
      </c>
      <c r="BN14" s="20">
        <v>11</v>
      </c>
      <c r="BO14" s="10">
        <v>11</v>
      </c>
      <c r="BP14" s="20">
        <v>11</v>
      </c>
      <c r="BQ14" s="10">
        <v>11</v>
      </c>
      <c r="BR14" s="20">
        <v>11</v>
      </c>
      <c r="BS14" s="10">
        <v>11</v>
      </c>
      <c r="BT14" s="20">
        <v>11</v>
      </c>
      <c r="BU14" s="10">
        <v>11</v>
      </c>
      <c r="BV14" s="20">
        <v>11</v>
      </c>
      <c r="BW14" s="10">
        <v>11</v>
      </c>
      <c r="BX14" s="20">
        <v>11</v>
      </c>
      <c r="BY14" s="10">
        <v>11</v>
      </c>
      <c r="BZ14" s="20">
        <v>11</v>
      </c>
    </row>
    <row r="15" spans="1:78" x14ac:dyDescent="0.25">
      <c r="A15" s="41"/>
      <c r="B15" s="41"/>
      <c r="C15" s="41"/>
      <c r="D15" s="41"/>
      <c r="E15" s="28" t="s">
        <v>134</v>
      </c>
      <c r="F15" s="28" t="s">
        <v>64</v>
      </c>
      <c r="G15" s="18">
        <v>2023083101</v>
      </c>
      <c r="H15" s="19">
        <v>45169</v>
      </c>
      <c r="I15" s="18">
        <v>1704</v>
      </c>
      <c r="J15" s="20">
        <v>12</v>
      </c>
      <c r="K15" s="10">
        <v>12</v>
      </c>
      <c r="L15" s="20">
        <v>12</v>
      </c>
      <c r="M15" s="10">
        <v>12</v>
      </c>
      <c r="N15" s="20">
        <v>12</v>
      </c>
      <c r="O15" s="10">
        <v>12</v>
      </c>
      <c r="P15" s="20">
        <v>12</v>
      </c>
      <c r="Q15" s="10">
        <v>12</v>
      </c>
      <c r="R15" s="20">
        <v>12</v>
      </c>
      <c r="S15" s="10">
        <v>12</v>
      </c>
      <c r="T15" s="20">
        <v>12</v>
      </c>
      <c r="U15" s="10">
        <v>12</v>
      </c>
      <c r="V15" s="20">
        <v>12</v>
      </c>
      <c r="W15" s="10">
        <v>12</v>
      </c>
      <c r="X15" s="20">
        <v>12</v>
      </c>
      <c r="Y15" s="10">
        <v>12</v>
      </c>
      <c r="Z15" s="20">
        <v>12</v>
      </c>
      <c r="AA15" s="10">
        <v>12</v>
      </c>
      <c r="AB15" s="20">
        <v>12</v>
      </c>
      <c r="AC15" s="10">
        <v>12</v>
      </c>
      <c r="AD15" s="20">
        <v>12</v>
      </c>
      <c r="AE15" s="10">
        <v>12</v>
      </c>
      <c r="AF15" s="20">
        <v>12</v>
      </c>
      <c r="AG15" s="10">
        <v>12</v>
      </c>
      <c r="AH15" s="20">
        <v>12</v>
      </c>
      <c r="AI15" s="10">
        <v>12</v>
      </c>
      <c r="AJ15" s="20">
        <v>12</v>
      </c>
      <c r="AK15" s="10">
        <v>12</v>
      </c>
      <c r="AL15" s="20">
        <v>12</v>
      </c>
      <c r="AM15" s="10">
        <v>12</v>
      </c>
      <c r="AN15" s="20">
        <v>12</v>
      </c>
      <c r="AO15" s="10">
        <v>12</v>
      </c>
      <c r="AP15" s="20">
        <v>12</v>
      </c>
      <c r="AQ15" s="10">
        <v>12</v>
      </c>
      <c r="AR15" s="20">
        <v>12</v>
      </c>
      <c r="AS15" s="10">
        <v>12</v>
      </c>
      <c r="AT15" s="20">
        <v>12</v>
      </c>
      <c r="AU15" s="10">
        <v>12</v>
      </c>
      <c r="AV15" s="20">
        <v>12</v>
      </c>
      <c r="AW15" s="10">
        <v>12</v>
      </c>
      <c r="AX15" s="20">
        <v>12</v>
      </c>
      <c r="AY15" s="10">
        <v>12</v>
      </c>
      <c r="AZ15" s="20">
        <v>12</v>
      </c>
      <c r="BA15" s="10">
        <v>12</v>
      </c>
      <c r="BB15" s="20">
        <v>12</v>
      </c>
      <c r="BC15" s="10">
        <v>12</v>
      </c>
      <c r="BD15" s="20">
        <v>12</v>
      </c>
      <c r="BE15" s="10">
        <v>12</v>
      </c>
      <c r="BF15" s="20">
        <v>12</v>
      </c>
      <c r="BG15" s="10">
        <v>12</v>
      </c>
      <c r="BH15" s="20">
        <v>12</v>
      </c>
      <c r="BI15" s="10">
        <v>12</v>
      </c>
      <c r="BJ15" s="20">
        <v>12</v>
      </c>
      <c r="BK15" s="10">
        <v>12</v>
      </c>
      <c r="BL15" s="20">
        <v>12</v>
      </c>
      <c r="BM15" s="10">
        <v>12</v>
      </c>
      <c r="BN15" s="20">
        <v>12</v>
      </c>
      <c r="BO15" s="10">
        <v>12</v>
      </c>
      <c r="BP15" s="20">
        <v>12</v>
      </c>
      <c r="BQ15" s="10">
        <v>12</v>
      </c>
      <c r="BR15" s="20">
        <v>12</v>
      </c>
      <c r="BS15" s="10">
        <v>12</v>
      </c>
      <c r="BT15" s="20">
        <v>12</v>
      </c>
      <c r="BU15" s="10">
        <v>12</v>
      </c>
      <c r="BV15" s="20">
        <v>12</v>
      </c>
      <c r="BW15" s="10">
        <v>12</v>
      </c>
      <c r="BX15" s="20">
        <v>12</v>
      </c>
      <c r="BY15" s="10">
        <v>12</v>
      </c>
      <c r="BZ15" s="20">
        <v>12</v>
      </c>
    </row>
    <row r="16" spans="1:78" x14ac:dyDescent="0.25">
      <c r="A16" s="41"/>
      <c r="B16" s="41"/>
      <c r="C16" s="41"/>
      <c r="D16" s="41"/>
      <c r="E16" s="28" t="s">
        <v>135</v>
      </c>
      <c r="F16" s="28" t="s">
        <v>65</v>
      </c>
      <c r="G16" s="18">
        <v>2023083101</v>
      </c>
      <c r="H16" s="19">
        <v>45169</v>
      </c>
      <c r="I16" s="18">
        <v>1705</v>
      </c>
      <c r="J16" s="20">
        <v>13</v>
      </c>
      <c r="K16" s="10">
        <v>13</v>
      </c>
      <c r="L16" s="20">
        <v>13</v>
      </c>
      <c r="M16" s="10">
        <v>13</v>
      </c>
      <c r="N16" s="20">
        <v>13</v>
      </c>
      <c r="O16" s="10">
        <v>13</v>
      </c>
      <c r="P16" s="20">
        <v>13</v>
      </c>
      <c r="Q16" s="10">
        <v>13</v>
      </c>
      <c r="R16" s="20">
        <v>13</v>
      </c>
      <c r="S16" s="10">
        <v>13</v>
      </c>
      <c r="T16" s="20">
        <v>13</v>
      </c>
      <c r="U16" s="10">
        <v>13</v>
      </c>
      <c r="V16" s="20">
        <v>13</v>
      </c>
      <c r="W16" s="10">
        <v>13</v>
      </c>
      <c r="X16" s="20">
        <v>13</v>
      </c>
      <c r="Y16" s="10">
        <v>13</v>
      </c>
      <c r="Z16" s="20">
        <v>13</v>
      </c>
      <c r="AA16" s="10">
        <v>13</v>
      </c>
      <c r="AB16" s="20">
        <v>13</v>
      </c>
      <c r="AC16" s="10">
        <v>13</v>
      </c>
      <c r="AD16" s="20">
        <v>13</v>
      </c>
      <c r="AE16" s="10">
        <v>13</v>
      </c>
      <c r="AF16" s="20">
        <v>13</v>
      </c>
      <c r="AG16" s="10">
        <v>13</v>
      </c>
      <c r="AH16" s="20">
        <v>13</v>
      </c>
      <c r="AI16" s="10">
        <v>13</v>
      </c>
      <c r="AJ16" s="20">
        <v>13</v>
      </c>
      <c r="AK16" s="10">
        <v>13</v>
      </c>
      <c r="AL16" s="20">
        <v>13</v>
      </c>
      <c r="AM16" s="10">
        <v>13</v>
      </c>
      <c r="AN16" s="20">
        <v>13</v>
      </c>
      <c r="AO16" s="10">
        <v>13</v>
      </c>
      <c r="AP16" s="20">
        <v>13</v>
      </c>
      <c r="AQ16" s="10">
        <v>13</v>
      </c>
      <c r="AR16" s="20">
        <v>13</v>
      </c>
      <c r="AS16" s="10">
        <v>13</v>
      </c>
      <c r="AT16" s="20">
        <v>13</v>
      </c>
      <c r="AU16" s="10">
        <v>13</v>
      </c>
      <c r="AV16" s="20">
        <v>13</v>
      </c>
      <c r="AW16" s="10">
        <v>13</v>
      </c>
      <c r="AX16" s="20">
        <v>13</v>
      </c>
      <c r="AY16" s="10">
        <v>13</v>
      </c>
      <c r="AZ16" s="20">
        <v>13</v>
      </c>
      <c r="BA16" s="10">
        <v>13</v>
      </c>
      <c r="BB16" s="20">
        <v>13</v>
      </c>
      <c r="BC16" s="10">
        <v>13</v>
      </c>
      <c r="BD16" s="20">
        <v>13</v>
      </c>
      <c r="BE16" s="10">
        <v>13</v>
      </c>
      <c r="BF16" s="20">
        <v>13</v>
      </c>
      <c r="BG16" s="10">
        <v>13</v>
      </c>
      <c r="BH16" s="20">
        <v>13</v>
      </c>
      <c r="BI16" s="10">
        <v>13</v>
      </c>
      <c r="BJ16" s="20">
        <v>13</v>
      </c>
      <c r="BK16" s="10">
        <v>13</v>
      </c>
      <c r="BL16" s="20">
        <v>13</v>
      </c>
      <c r="BM16" s="10">
        <v>13</v>
      </c>
      <c r="BN16" s="20">
        <v>13</v>
      </c>
      <c r="BO16" s="10">
        <v>13</v>
      </c>
      <c r="BP16" s="20">
        <v>13</v>
      </c>
      <c r="BQ16" s="10">
        <v>13</v>
      </c>
      <c r="BR16" s="20">
        <v>13</v>
      </c>
      <c r="BS16" s="10">
        <v>13</v>
      </c>
      <c r="BT16" s="20">
        <v>13</v>
      </c>
      <c r="BU16" s="10">
        <v>13</v>
      </c>
      <c r="BV16" s="20">
        <v>13</v>
      </c>
      <c r="BW16" s="10">
        <v>13</v>
      </c>
      <c r="BX16" s="20">
        <v>13</v>
      </c>
      <c r="BY16" s="10">
        <v>13</v>
      </c>
      <c r="BZ16" s="20">
        <v>13</v>
      </c>
    </row>
    <row r="17" spans="1:78" x14ac:dyDescent="0.25">
      <c r="A17" s="41"/>
      <c r="B17" s="42"/>
      <c r="C17" s="42"/>
      <c r="D17" s="42"/>
      <c r="E17" s="18" t="s">
        <v>0</v>
      </c>
      <c r="F17" s="18" t="s">
        <v>0</v>
      </c>
      <c r="G17" s="18" t="s">
        <v>56</v>
      </c>
      <c r="H17" s="18" t="s">
        <v>0</v>
      </c>
      <c r="I17" s="10" t="s">
        <v>0</v>
      </c>
      <c r="J17" s="20"/>
      <c r="K17" s="10"/>
      <c r="L17" s="20"/>
      <c r="M17" s="10"/>
      <c r="N17" s="20"/>
      <c r="O17" s="10"/>
      <c r="P17" s="20"/>
      <c r="Q17" s="10"/>
      <c r="R17" s="20"/>
      <c r="S17" s="10"/>
      <c r="T17" s="20"/>
      <c r="U17" s="10"/>
      <c r="V17" s="20"/>
      <c r="W17" s="10"/>
      <c r="X17" s="20"/>
      <c r="Y17" s="10"/>
      <c r="Z17" s="20"/>
      <c r="AA17" s="10"/>
      <c r="AB17" s="20"/>
      <c r="AC17" s="10"/>
      <c r="AD17" s="20"/>
      <c r="AE17" s="10"/>
      <c r="AF17" s="20"/>
      <c r="AG17" s="10"/>
      <c r="AH17" s="20"/>
      <c r="AI17" s="10"/>
      <c r="AJ17" s="20"/>
      <c r="AK17" s="10"/>
      <c r="AL17" s="20"/>
      <c r="AM17" s="10"/>
      <c r="AN17" s="20"/>
      <c r="AO17" s="10"/>
      <c r="AP17" s="20"/>
      <c r="AQ17" s="10"/>
      <c r="AR17" s="20"/>
      <c r="AS17" s="10"/>
      <c r="AT17" s="20"/>
      <c r="AU17" s="10"/>
      <c r="AV17" s="20"/>
      <c r="AW17" s="10"/>
      <c r="AX17" s="20"/>
      <c r="AY17" s="10"/>
      <c r="AZ17" s="20"/>
      <c r="BA17" s="10"/>
      <c r="BB17" s="20"/>
      <c r="BC17" s="10"/>
      <c r="BD17" s="20"/>
      <c r="BE17" s="10"/>
      <c r="BF17" s="20"/>
      <c r="BG17" s="10"/>
      <c r="BH17" s="20"/>
      <c r="BI17" s="10"/>
      <c r="BJ17" s="20"/>
      <c r="BK17" s="10"/>
      <c r="BL17" s="20"/>
      <c r="BM17" s="10"/>
      <c r="BN17" s="20"/>
      <c r="BO17" s="10"/>
      <c r="BP17" s="20"/>
      <c r="BQ17" s="10"/>
      <c r="BR17" s="20"/>
      <c r="BS17" s="10"/>
      <c r="BT17" s="20"/>
      <c r="BU17" s="10"/>
      <c r="BV17" s="20"/>
      <c r="BW17" s="10"/>
      <c r="BX17" s="20"/>
      <c r="BY17" s="10"/>
      <c r="BZ17" s="20"/>
    </row>
    <row r="18" spans="1:78" x14ac:dyDescent="0.25">
      <c r="A18" s="41"/>
      <c r="B18" s="40" t="s">
        <v>66</v>
      </c>
      <c r="C18" s="40" t="s">
        <v>52</v>
      </c>
      <c r="D18" s="40" t="s">
        <v>0</v>
      </c>
      <c r="E18" s="28" t="s">
        <v>136</v>
      </c>
      <c r="F18" s="28" t="s">
        <v>67</v>
      </c>
      <c r="G18" s="18">
        <v>2023083101</v>
      </c>
      <c r="H18" s="19">
        <v>45169</v>
      </c>
      <c r="I18" s="18">
        <v>1706</v>
      </c>
      <c r="J18" s="20">
        <v>15</v>
      </c>
      <c r="K18" s="10">
        <v>15</v>
      </c>
      <c r="L18" s="20">
        <v>15</v>
      </c>
      <c r="M18" s="10">
        <v>15</v>
      </c>
      <c r="N18" s="20">
        <v>15</v>
      </c>
      <c r="O18" s="10">
        <v>15</v>
      </c>
      <c r="P18" s="20">
        <v>15</v>
      </c>
      <c r="Q18" s="10">
        <v>15</v>
      </c>
      <c r="R18" s="20">
        <v>15</v>
      </c>
      <c r="S18" s="10">
        <v>15</v>
      </c>
      <c r="T18" s="20">
        <v>15</v>
      </c>
      <c r="U18" s="10">
        <v>15</v>
      </c>
      <c r="V18" s="20">
        <v>15</v>
      </c>
      <c r="W18" s="10">
        <v>15</v>
      </c>
      <c r="X18" s="20">
        <v>15</v>
      </c>
      <c r="Y18" s="10">
        <v>15</v>
      </c>
      <c r="Z18" s="20">
        <v>15</v>
      </c>
      <c r="AA18" s="10">
        <v>15</v>
      </c>
      <c r="AB18" s="20">
        <v>15</v>
      </c>
      <c r="AC18" s="10">
        <v>15</v>
      </c>
      <c r="AD18" s="20">
        <v>15</v>
      </c>
      <c r="AE18" s="10">
        <v>15</v>
      </c>
      <c r="AF18" s="20">
        <v>15</v>
      </c>
      <c r="AG18" s="10">
        <v>15</v>
      </c>
      <c r="AH18" s="20">
        <v>15</v>
      </c>
      <c r="AI18" s="10">
        <v>15</v>
      </c>
      <c r="AJ18" s="20">
        <v>15</v>
      </c>
      <c r="AK18" s="10">
        <v>15</v>
      </c>
      <c r="AL18" s="20">
        <v>15</v>
      </c>
      <c r="AM18" s="10">
        <v>15</v>
      </c>
      <c r="AN18" s="20">
        <v>15</v>
      </c>
      <c r="AO18" s="10">
        <v>15</v>
      </c>
      <c r="AP18" s="20">
        <v>15</v>
      </c>
      <c r="AQ18" s="10">
        <v>15</v>
      </c>
      <c r="AR18" s="20">
        <v>15</v>
      </c>
      <c r="AS18" s="10">
        <v>15</v>
      </c>
      <c r="AT18" s="20">
        <v>15</v>
      </c>
      <c r="AU18" s="10">
        <v>15</v>
      </c>
      <c r="AV18" s="20">
        <v>15</v>
      </c>
      <c r="AW18" s="10">
        <v>15</v>
      </c>
      <c r="AX18" s="20">
        <v>15</v>
      </c>
      <c r="AY18" s="10">
        <v>15</v>
      </c>
      <c r="AZ18" s="20">
        <v>15</v>
      </c>
      <c r="BA18" s="10">
        <v>15</v>
      </c>
      <c r="BB18" s="20">
        <v>15</v>
      </c>
      <c r="BC18" s="10">
        <v>15</v>
      </c>
      <c r="BD18" s="20">
        <v>15</v>
      </c>
      <c r="BE18" s="10">
        <v>15</v>
      </c>
      <c r="BF18" s="20">
        <v>15</v>
      </c>
      <c r="BG18" s="10">
        <v>15</v>
      </c>
      <c r="BH18" s="20">
        <v>15</v>
      </c>
      <c r="BI18" s="10">
        <v>15</v>
      </c>
      <c r="BJ18" s="20">
        <v>15</v>
      </c>
      <c r="BK18" s="10">
        <v>15</v>
      </c>
      <c r="BL18" s="20">
        <v>15</v>
      </c>
      <c r="BM18" s="10">
        <v>15</v>
      </c>
      <c r="BN18" s="20">
        <v>15</v>
      </c>
      <c r="BO18" s="10">
        <v>15</v>
      </c>
      <c r="BP18" s="20">
        <v>15</v>
      </c>
      <c r="BQ18" s="10">
        <v>15</v>
      </c>
      <c r="BR18" s="20">
        <v>15</v>
      </c>
      <c r="BS18" s="10">
        <v>15</v>
      </c>
      <c r="BT18" s="20">
        <v>15</v>
      </c>
      <c r="BU18" s="10">
        <v>15</v>
      </c>
      <c r="BV18" s="20">
        <v>15</v>
      </c>
      <c r="BW18" s="10">
        <v>15</v>
      </c>
      <c r="BX18" s="20">
        <v>15</v>
      </c>
      <c r="BY18" s="10">
        <v>15</v>
      </c>
      <c r="BZ18" s="20">
        <v>15</v>
      </c>
    </row>
    <row r="19" spans="1:78" x14ac:dyDescent="0.25">
      <c r="A19" s="41"/>
      <c r="B19" s="41"/>
      <c r="C19" s="41"/>
      <c r="D19" s="41"/>
      <c r="E19" s="28" t="s">
        <v>137</v>
      </c>
      <c r="F19" s="28" t="s">
        <v>68</v>
      </c>
      <c r="G19" s="18">
        <v>2023083101</v>
      </c>
      <c r="H19" s="19">
        <v>45169</v>
      </c>
      <c r="I19" s="18">
        <v>1707</v>
      </c>
      <c r="J19" s="20">
        <v>16</v>
      </c>
      <c r="K19" s="10">
        <v>16</v>
      </c>
      <c r="L19" s="20">
        <v>16</v>
      </c>
      <c r="M19" s="10">
        <v>16</v>
      </c>
      <c r="N19" s="20">
        <v>16</v>
      </c>
      <c r="O19" s="10">
        <v>16</v>
      </c>
      <c r="P19" s="20">
        <v>16</v>
      </c>
      <c r="Q19" s="10">
        <v>16</v>
      </c>
      <c r="R19" s="20">
        <v>16</v>
      </c>
      <c r="S19" s="10">
        <v>16</v>
      </c>
      <c r="T19" s="20">
        <v>16</v>
      </c>
      <c r="U19" s="10">
        <v>16</v>
      </c>
      <c r="V19" s="20">
        <v>16</v>
      </c>
      <c r="W19" s="10">
        <v>16</v>
      </c>
      <c r="X19" s="20">
        <v>16</v>
      </c>
      <c r="Y19" s="10">
        <v>16</v>
      </c>
      <c r="Z19" s="20">
        <v>16</v>
      </c>
      <c r="AA19" s="10">
        <v>16</v>
      </c>
      <c r="AB19" s="20">
        <v>16</v>
      </c>
      <c r="AC19" s="10">
        <v>16</v>
      </c>
      <c r="AD19" s="20">
        <v>16</v>
      </c>
      <c r="AE19" s="10">
        <v>16</v>
      </c>
      <c r="AF19" s="20">
        <v>16</v>
      </c>
      <c r="AG19" s="10">
        <v>16</v>
      </c>
      <c r="AH19" s="20">
        <v>16</v>
      </c>
      <c r="AI19" s="10">
        <v>16</v>
      </c>
      <c r="AJ19" s="20">
        <v>16</v>
      </c>
      <c r="AK19" s="10">
        <v>16</v>
      </c>
      <c r="AL19" s="20">
        <v>16</v>
      </c>
      <c r="AM19" s="10">
        <v>16</v>
      </c>
      <c r="AN19" s="20">
        <v>16</v>
      </c>
      <c r="AO19" s="10">
        <v>16</v>
      </c>
      <c r="AP19" s="20">
        <v>16</v>
      </c>
      <c r="AQ19" s="10">
        <v>16</v>
      </c>
      <c r="AR19" s="20">
        <v>16</v>
      </c>
      <c r="AS19" s="10">
        <v>16</v>
      </c>
      <c r="AT19" s="20">
        <v>16</v>
      </c>
      <c r="AU19" s="10">
        <v>16</v>
      </c>
      <c r="AV19" s="20">
        <v>16</v>
      </c>
      <c r="AW19" s="10">
        <v>16</v>
      </c>
      <c r="AX19" s="20">
        <v>16</v>
      </c>
      <c r="AY19" s="10">
        <v>16</v>
      </c>
      <c r="AZ19" s="20">
        <v>16</v>
      </c>
      <c r="BA19" s="10">
        <v>16</v>
      </c>
      <c r="BB19" s="20">
        <v>16</v>
      </c>
      <c r="BC19" s="10">
        <v>16</v>
      </c>
      <c r="BD19" s="20">
        <v>16</v>
      </c>
      <c r="BE19" s="10">
        <v>16</v>
      </c>
      <c r="BF19" s="20">
        <v>16</v>
      </c>
      <c r="BG19" s="10">
        <v>16</v>
      </c>
      <c r="BH19" s="20">
        <v>16</v>
      </c>
      <c r="BI19" s="10">
        <v>16</v>
      </c>
      <c r="BJ19" s="20">
        <v>16</v>
      </c>
      <c r="BK19" s="10">
        <v>16</v>
      </c>
      <c r="BL19" s="20">
        <v>16</v>
      </c>
      <c r="BM19" s="10">
        <v>16</v>
      </c>
      <c r="BN19" s="20">
        <v>16</v>
      </c>
      <c r="BO19" s="10">
        <v>16</v>
      </c>
      <c r="BP19" s="20">
        <v>16</v>
      </c>
      <c r="BQ19" s="10">
        <v>16</v>
      </c>
      <c r="BR19" s="20">
        <v>16</v>
      </c>
      <c r="BS19" s="10">
        <v>16</v>
      </c>
      <c r="BT19" s="20">
        <v>16</v>
      </c>
      <c r="BU19" s="10">
        <v>16</v>
      </c>
      <c r="BV19" s="20">
        <v>16</v>
      </c>
      <c r="BW19" s="10">
        <v>16</v>
      </c>
      <c r="BX19" s="20">
        <v>16</v>
      </c>
      <c r="BY19" s="10">
        <v>16</v>
      </c>
      <c r="BZ19" s="20">
        <v>16</v>
      </c>
    </row>
    <row r="20" spans="1:78" x14ac:dyDescent="0.25">
      <c r="A20" s="41"/>
      <c r="B20" s="41"/>
      <c r="C20" s="41"/>
      <c r="D20" s="41"/>
      <c r="E20" s="28" t="s">
        <v>138</v>
      </c>
      <c r="F20" s="28" t="s">
        <v>69</v>
      </c>
      <c r="G20" s="18">
        <v>2023083101</v>
      </c>
      <c r="H20" s="19">
        <v>45169</v>
      </c>
      <c r="I20" s="18">
        <v>1708</v>
      </c>
      <c r="J20" s="20">
        <v>17</v>
      </c>
      <c r="K20" s="10">
        <v>17</v>
      </c>
      <c r="L20" s="20">
        <v>17</v>
      </c>
      <c r="M20" s="10">
        <v>17</v>
      </c>
      <c r="N20" s="20">
        <v>17</v>
      </c>
      <c r="O20" s="10">
        <v>17</v>
      </c>
      <c r="P20" s="20">
        <v>17</v>
      </c>
      <c r="Q20" s="10">
        <v>17</v>
      </c>
      <c r="R20" s="20">
        <v>17</v>
      </c>
      <c r="S20" s="10">
        <v>17</v>
      </c>
      <c r="T20" s="20">
        <v>17</v>
      </c>
      <c r="U20" s="10">
        <v>17</v>
      </c>
      <c r="V20" s="20">
        <v>17</v>
      </c>
      <c r="W20" s="10">
        <v>17</v>
      </c>
      <c r="X20" s="20">
        <v>17</v>
      </c>
      <c r="Y20" s="10">
        <v>17</v>
      </c>
      <c r="Z20" s="20">
        <v>17</v>
      </c>
      <c r="AA20" s="10">
        <v>17</v>
      </c>
      <c r="AB20" s="20">
        <v>17</v>
      </c>
      <c r="AC20" s="10">
        <v>17</v>
      </c>
      <c r="AD20" s="20">
        <v>17</v>
      </c>
      <c r="AE20" s="10">
        <v>17</v>
      </c>
      <c r="AF20" s="20">
        <v>17</v>
      </c>
      <c r="AG20" s="10">
        <v>17</v>
      </c>
      <c r="AH20" s="20">
        <v>17</v>
      </c>
      <c r="AI20" s="10">
        <v>17</v>
      </c>
      <c r="AJ20" s="20">
        <v>17</v>
      </c>
      <c r="AK20" s="10">
        <v>17</v>
      </c>
      <c r="AL20" s="20">
        <v>17</v>
      </c>
      <c r="AM20" s="10">
        <v>17</v>
      </c>
      <c r="AN20" s="20">
        <v>17</v>
      </c>
      <c r="AO20" s="10">
        <v>17</v>
      </c>
      <c r="AP20" s="20">
        <v>17</v>
      </c>
      <c r="AQ20" s="10">
        <v>17</v>
      </c>
      <c r="AR20" s="20">
        <v>17</v>
      </c>
      <c r="AS20" s="10">
        <v>17</v>
      </c>
      <c r="AT20" s="20">
        <v>17</v>
      </c>
      <c r="AU20" s="10">
        <v>17</v>
      </c>
      <c r="AV20" s="20">
        <v>17</v>
      </c>
      <c r="AW20" s="10">
        <v>17</v>
      </c>
      <c r="AX20" s="20">
        <v>17</v>
      </c>
      <c r="AY20" s="10">
        <v>17</v>
      </c>
      <c r="AZ20" s="20">
        <v>17</v>
      </c>
      <c r="BA20" s="10">
        <v>17</v>
      </c>
      <c r="BB20" s="20">
        <v>17</v>
      </c>
      <c r="BC20" s="10">
        <v>17</v>
      </c>
      <c r="BD20" s="20">
        <v>17</v>
      </c>
      <c r="BE20" s="10">
        <v>17</v>
      </c>
      <c r="BF20" s="20">
        <v>17</v>
      </c>
      <c r="BG20" s="10">
        <v>17</v>
      </c>
      <c r="BH20" s="20">
        <v>17</v>
      </c>
      <c r="BI20" s="10">
        <v>17</v>
      </c>
      <c r="BJ20" s="20">
        <v>17</v>
      </c>
      <c r="BK20" s="10">
        <v>17</v>
      </c>
      <c r="BL20" s="20">
        <v>17</v>
      </c>
      <c r="BM20" s="10">
        <v>17</v>
      </c>
      <c r="BN20" s="20">
        <v>17</v>
      </c>
      <c r="BO20" s="10">
        <v>17</v>
      </c>
      <c r="BP20" s="20">
        <v>17</v>
      </c>
      <c r="BQ20" s="10">
        <v>17</v>
      </c>
      <c r="BR20" s="20">
        <v>17</v>
      </c>
      <c r="BS20" s="10">
        <v>17</v>
      </c>
      <c r="BT20" s="20">
        <v>17</v>
      </c>
      <c r="BU20" s="10">
        <v>17</v>
      </c>
      <c r="BV20" s="20">
        <v>17</v>
      </c>
      <c r="BW20" s="10">
        <v>17</v>
      </c>
      <c r="BX20" s="20">
        <v>17</v>
      </c>
      <c r="BY20" s="10">
        <v>17</v>
      </c>
      <c r="BZ20" s="20">
        <v>17</v>
      </c>
    </row>
    <row r="21" spans="1:78" ht="18" x14ac:dyDescent="0.25">
      <c r="A21" s="41"/>
      <c r="B21" s="41"/>
      <c r="C21" s="41"/>
      <c r="D21" s="41"/>
      <c r="E21" s="28" t="s">
        <v>139</v>
      </c>
      <c r="F21" s="28" t="s">
        <v>70</v>
      </c>
      <c r="G21" s="18">
        <v>2023083101</v>
      </c>
      <c r="H21" s="19">
        <v>45169</v>
      </c>
      <c r="I21" s="18">
        <v>1709</v>
      </c>
      <c r="J21" s="20">
        <v>18</v>
      </c>
      <c r="K21" s="10">
        <v>18</v>
      </c>
      <c r="L21" s="20">
        <v>18</v>
      </c>
      <c r="M21" s="10">
        <v>18</v>
      </c>
      <c r="N21" s="20">
        <v>18</v>
      </c>
      <c r="O21" s="10">
        <v>18</v>
      </c>
      <c r="P21" s="20">
        <v>18</v>
      </c>
      <c r="Q21" s="10">
        <v>18</v>
      </c>
      <c r="R21" s="20">
        <v>18</v>
      </c>
      <c r="S21" s="10">
        <v>18</v>
      </c>
      <c r="T21" s="20">
        <v>18</v>
      </c>
      <c r="U21" s="10">
        <v>18</v>
      </c>
      <c r="V21" s="20">
        <v>18</v>
      </c>
      <c r="W21" s="10">
        <v>18</v>
      </c>
      <c r="X21" s="20">
        <v>18</v>
      </c>
      <c r="Y21" s="10">
        <v>18</v>
      </c>
      <c r="Z21" s="20">
        <v>18</v>
      </c>
      <c r="AA21" s="10">
        <v>18</v>
      </c>
      <c r="AB21" s="20">
        <v>18</v>
      </c>
      <c r="AC21" s="10">
        <v>18</v>
      </c>
      <c r="AD21" s="20">
        <v>18</v>
      </c>
      <c r="AE21" s="10">
        <v>18</v>
      </c>
      <c r="AF21" s="20">
        <v>18</v>
      </c>
      <c r="AG21" s="10">
        <v>18</v>
      </c>
      <c r="AH21" s="20">
        <v>18</v>
      </c>
      <c r="AI21" s="10">
        <v>18</v>
      </c>
      <c r="AJ21" s="20">
        <v>18</v>
      </c>
      <c r="AK21" s="10">
        <v>18</v>
      </c>
      <c r="AL21" s="20">
        <v>18</v>
      </c>
      <c r="AM21" s="10">
        <v>18</v>
      </c>
      <c r="AN21" s="20">
        <v>18</v>
      </c>
      <c r="AO21" s="10">
        <v>18</v>
      </c>
      <c r="AP21" s="20">
        <v>18</v>
      </c>
      <c r="AQ21" s="10">
        <v>18</v>
      </c>
      <c r="AR21" s="20">
        <v>18</v>
      </c>
      <c r="AS21" s="10">
        <v>18</v>
      </c>
      <c r="AT21" s="20">
        <v>18</v>
      </c>
      <c r="AU21" s="10">
        <v>18</v>
      </c>
      <c r="AV21" s="20">
        <v>18</v>
      </c>
      <c r="AW21" s="10">
        <v>18</v>
      </c>
      <c r="AX21" s="20">
        <v>18</v>
      </c>
      <c r="AY21" s="10">
        <v>18</v>
      </c>
      <c r="AZ21" s="20">
        <v>18</v>
      </c>
      <c r="BA21" s="10">
        <v>18</v>
      </c>
      <c r="BB21" s="20">
        <v>18</v>
      </c>
      <c r="BC21" s="10">
        <v>18</v>
      </c>
      <c r="BD21" s="20">
        <v>18</v>
      </c>
      <c r="BE21" s="10">
        <v>18</v>
      </c>
      <c r="BF21" s="20">
        <v>18</v>
      </c>
      <c r="BG21" s="10">
        <v>18</v>
      </c>
      <c r="BH21" s="20">
        <v>18</v>
      </c>
      <c r="BI21" s="10">
        <v>18</v>
      </c>
      <c r="BJ21" s="20">
        <v>18</v>
      </c>
      <c r="BK21" s="10">
        <v>18</v>
      </c>
      <c r="BL21" s="20">
        <v>18</v>
      </c>
      <c r="BM21" s="10">
        <v>18</v>
      </c>
      <c r="BN21" s="20">
        <v>18</v>
      </c>
      <c r="BO21" s="10">
        <v>18</v>
      </c>
      <c r="BP21" s="20">
        <v>18</v>
      </c>
      <c r="BQ21" s="10">
        <v>18</v>
      </c>
      <c r="BR21" s="20">
        <v>18</v>
      </c>
      <c r="BS21" s="10">
        <v>18</v>
      </c>
      <c r="BT21" s="20">
        <v>18</v>
      </c>
      <c r="BU21" s="10">
        <v>18</v>
      </c>
      <c r="BV21" s="20">
        <v>18</v>
      </c>
      <c r="BW21" s="10">
        <v>18</v>
      </c>
      <c r="BX21" s="20">
        <v>18</v>
      </c>
      <c r="BY21" s="10">
        <v>18</v>
      </c>
      <c r="BZ21" s="20">
        <v>18</v>
      </c>
    </row>
    <row r="22" spans="1:78" x14ac:dyDescent="0.25">
      <c r="A22" s="41"/>
      <c r="B22" s="42"/>
      <c r="C22" s="42"/>
      <c r="D22" s="42"/>
      <c r="E22" s="18" t="s">
        <v>0</v>
      </c>
      <c r="F22" s="18" t="s">
        <v>0</v>
      </c>
      <c r="G22" s="18" t="s">
        <v>56</v>
      </c>
      <c r="H22" s="18" t="s">
        <v>0</v>
      </c>
      <c r="I22" s="10" t="s">
        <v>0</v>
      </c>
      <c r="J22" s="20"/>
      <c r="K22" s="10"/>
      <c r="L22" s="20"/>
      <c r="M22" s="10"/>
      <c r="N22" s="20"/>
      <c r="O22" s="10"/>
      <c r="P22" s="20"/>
      <c r="Q22" s="10"/>
      <c r="R22" s="20"/>
      <c r="S22" s="10"/>
      <c r="T22" s="20"/>
      <c r="U22" s="10"/>
      <c r="V22" s="20"/>
      <c r="W22" s="10"/>
      <c r="X22" s="20"/>
      <c r="Y22" s="10"/>
      <c r="Z22" s="20"/>
      <c r="AA22" s="10"/>
      <c r="AB22" s="20"/>
      <c r="AC22" s="10"/>
      <c r="AD22" s="20"/>
      <c r="AE22" s="10"/>
      <c r="AF22" s="20"/>
      <c r="AG22" s="10"/>
      <c r="AH22" s="20"/>
      <c r="AI22" s="10"/>
      <c r="AJ22" s="20"/>
      <c r="AK22" s="10"/>
      <c r="AL22" s="20"/>
      <c r="AM22" s="10"/>
      <c r="AN22" s="20"/>
      <c r="AO22" s="10"/>
      <c r="AP22" s="20"/>
      <c r="AQ22" s="10"/>
      <c r="AR22" s="20"/>
      <c r="AS22" s="10"/>
      <c r="AT22" s="20"/>
      <c r="AU22" s="10"/>
      <c r="AV22" s="20"/>
      <c r="AW22" s="10"/>
      <c r="AX22" s="20"/>
      <c r="AY22" s="10"/>
      <c r="AZ22" s="20"/>
      <c r="BA22" s="10"/>
      <c r="BB22" s="20"/>
      <c r="BC22" s="10"/>
      <c r="BD22" s="20"/>
      <c r="BE22" s="10"/>
      <c r="BF22" s="20"/>
      <c r="BG22" s="10"/>
      <c r="BH22" s="20"/>
      <c r="BI22" s="10"/>
      <c r="BJ22" s="20"/>
      <c r="BK22" s="10"/>
      <c r="BL22" s="20"/>
      <c r="BM22" s="10"/>
      <c r="BN22" s="20"/>
      <c r="BO22" s="10"/>
      <c r="BP22" s="20"/>
      <c r="BQ22" s="10"/>
      <c r="BR22" s="20"/>
      <c r="BS22" s="10"/>
      <c r="BT22" s="20"/>
      <c r="BU22" s="10"/>
      <c r="BV22" s="20"/>
      <c r="BW22" s="10"/>
      <c r="BX22" s="20"/>
      <c r="BY22" s="10"/>
      <c r="BZ22" s="20"/>
    </row>
    <row r="23" spans="1:78" x14ac:dyDescent="0.25">
      <c r="A23" s="41"/>
      <c r="B23" s="40" t="s">
        <v>71</v>
      </c>
      <c r="C23" s="40" t="s">
        <v>52</v>
      </c>
      <c r="D23" s="40" t="s">
        <v>0</v>
      </c>
      <c r="E23" s="28" t="s">
        <v>140</v>
      </c>
      <c r="F23" s="28" t="s">
        <v>72</v>
      </c>
      <c r="G23" s="18">
        <v>2023083101</v>
      </c>
      <c r="H23" s="19">
        <v>45169</v>
      </c>
      <c r="I23" s="18">
        <v>1715</v>
      </c>
      <c r="J23" s="20">
        <v>20</v>
      </c>
      <c r="K23" s="10">
        <v>20</v>
      </c>
      <c r="L23" s="20">
        <v>20</v>
      </c>
      <c r="M23" s="10">
        <v>20</v>
      </c>
      <c r="N23" s="20">
        <v>20</v>
      </c>
      <c r="O23" s="10">
        <v>20</v>
      </c>
      <c r="P23" s="20">
        <v>20</v>
      </c>
      <c r="Q23" s="10">
        <v>20</v>
      </c>
      <c r="R23" s="20">
        <v>20</v>
      </c>
      <c r="S23" s="10">
        <v>20</v>
      </c>
      <c r="T23" s="20">
        <v>20</v>
      </c>
      <c r="U23" s="10">
        <v>20</v>
      </c>
      <c r="V23" s="20">
        <v>20</v>
      </c>
      <c r="W23" s="10">
        <v>20</v>
      </c>
      <c r="X23" s="20">
        <v>20</v>
      </c>
      <c r="Y23" s="10">
        <v>20</v>
      </c>
      <c r="Z23" s="20">
        <v>20</v>
      </c>
      <c r="AA23" s="10">
        <v>20</v>
      </c>
      <c r="AB23" s="20">
        <v>20</v>
      </c>
      <c r="AC23" s="10">
        <v>20</v>
      </c>
      <c r="AD23" s="20">
        <v>20</v>
      </c>
      <c r="AE23" s="10">
        <v>20</v>
      </c>
      <c r="AF23" s="20">
        <v>20</v>
      </c>
      <c r="AG23" s="10">
        <v>20</v>
      </c>
      <c r="AH23" s="20">
        <v>20</v>
      </c>
      <c r="AI23" s="10">
        <v>20</v>
      </c>
      <c r="AJ23" s="20">
        <v>20</v>
      </c>
      <c r="AK23" s="10">
        <v>20</v>
      </c>
      <c r="AL23" s="20">
        <v>20</v>
      </c>
      <c r="AM23" s="10">
        <v>20</v>
      </c>
      <c r="AN23" s="20">
        <v>20</v>
      </c>
      <c r="AO23" s="10">
        <v>20</v>
      </c>
      <c r="AP23" s="20">
        <v>20</v>
      </c>
      <c r="AQ23" s="10">
        <v>20</v>
      </c>
      <c r="AR23" s="20">
        <v>20</v>
      </c>
      <c r="AS23" s="10">
        <v>20</v>
      </c>
      <c r="AT23" s="20">
        <v>20</v>
      </c>
      <c r="AU23" s="10">
        <v>20</v>
      </c>
      <c r="AV23" s="20">
        <v>20</v>
      </c>
      <c r="AW23" s="10">
        <v>20</v>
      </c>
      <c r="AX23" s="20">
        <v>20</v>
      </c>
      <c r="AY23" s="10">
        <v>20</v>
      </c>
      <c r="AZ23" s="20">
        <v>20</v>
      </c>
      <c r="BA23" s="10">
        <v>20</v>
      </c>
      <c r="BB23" s="20">
        <v>20</v>
      </c>
      <c r="BC23" s="10">
        <v>20</v>
      </c>
      <c r="BD23" s="20">
        <v>20</v>
      </c>
      <c r="BE23" s="10">
        <v>20</v>
      </c>
      <c r="BF23" s="20">
        <v>20</v>
      </c>
      <c r="BG23" s="10">
        <v>20</v>
      </c>
      <c r="BH23" s="20">
        <v>20</v>
      </c>
      <c r="BI23" s="10">
        <v>20</v>
      </c>
      <c r="BJ23" s="20">
        <v>20</v>
      </c>
      <c r="BK23" s="10">
        <v>20</v>
      </c>
      <c r="BL23" s="20">
        <v>20</v>
      </c>
      <c r="BM23" s="10">
        <v>20</v>
      </c>
      <c r="BN23" s="20">
        <v>20</v>
      </c>
      <c r="BO23" s="10">
        <v>20</v>
      </c>
      <c r="BP23" s="20">
        <v>20</v>
      </c>
      <c r="BQ23" s="10">
        <v>20</v>
      </c>
      <c r="BR23" s="20">
        <v>20</v>
      </c>
      <c r="BS23" s="10">
        <v>20</v>
      </c>
      <c r="BT23" s="20">
        <v>20</v>
      </c>
      <c r="BU23" s="10">
        <v>20</v>
      </c>
      <c r="BV23" s="20">
        <v>20</v>
      </c>
      <c r="BW23" s="10">
        <v>20</v>
      </c>
      <c r="BX23" s="20">
        <v>20</v>
      </c>
      <c r="BY23" s="10">
        <v>20</v>
      </c>
      <c r="BZ23" s="20">
        <v>20</v>
      </c>
    </row>
    <row r="24" spans="1:78" x14ac:dyDescent="0.25">
      <c r="A24" s="41"/>
      <c r="B24" s="41"/>
      <c r="C24" s="41"/>
      <c r="D24" s="41"/>
      <c r="E24" s="28" t="s">
        <v>141</v>
      </c>
      <c r="F24" s="28" t="s">
        <v>73</v>
      </c>
      <c r="G24" s="18">
        <v>2023083101</v>
      </c>
      <c r="H24" s="19">
        <v>45169</v>
      </c>
      <c r="I24" s="18">
        <v>1716</v>
      </c>
      <c r="J24" s="20">
        <v>21</v>
      </c>
      <c r="K24" s="10">
        <v>21</v>
      </c>
      <c r="L24" s="20">
        <v>21</v>
      </c>
      <c r="M24" s="10">
        <v>21</v>
      </c>
      <c r="N24" s="20">
        <v>21</v>
      </c>
      <c r="O24" s="10">
        <v>21</v>
      </c>
      <c r="P24" s="20">
        <v>21</v>
      </c>
      <c r="Q24" s="10">
        <v>21</v>
      </c>
      <c r="R24" s="20">
        <v>21</v>
      </c>
      <c r="S24" s="10">
        <v>21</v>
      </c>
      <c r="T24" s="20">
        <v>21</v>
      </c>
      <c r="U24" s="10">
        <v>21</v>
      </c>
      <c r="V24" s="20">
        <v>21</v>
      </c>
      <c r="W24" s="10">
        <v>21</v>
      </c>
      <c r="X24" s="20">
        <v>21</v>
      </c>
      <c r="Y24" s="10">
        <v>21</v>
      </c>
      <c r="Z24" s="20">
        <v>21</v>
      </c>
      <c r="AA24" s="10">
        <v>21</v>
      </c>
      <c r="AB24" s="20">
        <v>21</v>
      </c>
      <c r="AC24" s="10">
        <v>21</v>
      </c>
      <c r="AD24" s="20">
        <v>21</v>
      </c>
      <c r="AE24" s="10">
        <v>21</v>
      </c>
      <c r="AF24" s="20">
        <v>21</v>
      </c>
      <c r="AG24" s="10">
        <v>21</v>
      </c>
      <c r="AH24" s="20">
        <v>21</v>
      </c>
      <c r="AI24" s="10">
        <v>21</v>
      </c>
      <c r="AJ24" s="20">
        <v>21</v>
      </c>
      <c r="AK24" s="10">
        <v>21</v>
      </c>
      <c r="AL24" s="20">
        <v>21</v>
      </c>
      <c r="AM24" s="10">
        <v>21</v>
      </c>
      <c r="AN24" s="20">
        <v>21</v>
      </c>
      <c r="AO24" s="10">
        <v>21</v>
      </c>
      <c r="AP24" s="20">
        <v>21</v>
      </c>
      <c r="AQ24" s="10">
        <v>21</v>
      </c>
      <c r="AR24" s="20">
        <v>21</v>
      </c>
      <c r="AS24" s="10">
        <v>21</v>
      </c>
      <c r="AT24" s="20">
        <v>21</v>
      </c>
      <c r="AU24" s="10">
        <v>21</v>
      </c>
      <c r="AV24" s="20">
        <v>21</v>
      </c>
      <c r="AW24" s="10">
        <v>21</v>
      </c>
      <c r="AX24" s="20">
        <v>21</v>
      </c>
      <c r="AY24" s="10">
        <v>21</v>
      </c>
      <c r="AZ24" s="20">
        <v>21</v>
      </c>
      <c r="BA24" s="10">
        <v>21</v>
      </c>
      <c r="BB24" s="20">
        <v>21</v>
      </c>
      <c r="BC24" s="10">
        <v>21</v>
      </c>
      <c r="BD24" s="20">
        <v>21</v>
      </c>
      <c r="BE24" s="10">
        <v>21</v>
      </c>
      <c r="BF24" s="20">
        <v>21</v>
      </c>
      <c r="BG24" s="10">
        <v>21</v>
      </c>
      <c r="BH24" s="20">
        <v>21</v>
      </c>
      <c r="BI24" s="10">
        <v>21</v>
      </c>
      <c r="BJ24" s="20">
        <v>21</v>
      </c>
      <c r="BK24" s="10">
        <v>21</v>
      </c>
      <c r="BL24" s="20">
        <v>21</v>
      </c>
      <c r="BM24" s="10">
        <v>21</v>
      </c>
      <c r="BN24" s="20">
        <v>21</v>
      </c>
      <c r="BO24" s="10">
        <v>21</v>
      </c>
      <c r="BP24" s="20">
        <v>21</v>
      </c>
      <c r="BQ24" s="10">
        <v>21</v>
      </c>
      <c r="BR24" s="20">
        <v>21</v>
      </c>
      <c r="BS24" s="10">
        <v>21</v>
      </c>
      <c r="BT24" s="20">
        <v>21</v>
      </c>
      <c r="BU24" s="10">
        <v>21</v>
      </c>
      <c r="BV24" s="20">
        <v>21</v>
      </c>
      <c r="BW24" s="10">
        <v>21</v>
      </c>
      <c r="BX24" s="20">
        <v>21</v>
      </c>
      <c r="BY24" s="10">
        <v>21</v>
      </c>
      <c r="BZ24" s="20">
        <v>21</v>
      </c>
    </row>
    <row r="25" spans="1:78" x14ac:dyDescent="0.25">
      <c r="A25" s="42"/>
      <c r="B25" s="42"/>
      <c r="C25" s="42"/>
      <c r="D25" s="42"/>
      <c r="E25" s="18" t="s">
        <v>0</v>
      </c>
      <c r="F25" s="18" t="s">
        <v>0</v>
      </c>
      <c r="G25" s="18" t="s">
        <v>56</v>
      </c>
      <c r="H25" s="18" t="s">
        <v>0</v>
      </c>
      <c r="I25" s="10" t="s">
        <v>0</v>
      </c>
      <c r="J25" s="10" t="s">
        <v>0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10"/>
      <c r="X25" s="10"/>
      <c r="Y25" s="20"/>
      <c r="Z25" s="20"/>
      <c r="AA25" s="10"/>
      <c r="AB25" s="10"/>
      <c r="AC25" s="20"/>
      <c r="AD25" s="20"/>
      <c r="AE25" s="10"/>
      <c r="AF25" s="10"/>
      <c r="AG25" s="10"/>
      <c r="AH25" s="10"/>
      <c r="AI25" s="20"/>
      <c r="AJ25" s="20"/>
      <c r="AK25" s="10"/>
      <c r="AL25" s="10"/>
      <c r="AM25" s="20"/>
      <c r="AN25" s="20"/>
      <c r="AO25" s="10"/>
      <c r="AP25" s="20"/>
      <c r="AQ25" s="10"/>
      <c r="AR25" s="20"/>
      <c r="AS25" s="10"/>
      <c r="AT25" s="20"/>
      <c r="AU25" s="10"/>
      <c r="AV25" s="20"/>
      <c r="AW25" s="10"/>
      <c r="AX25" s="10"/>
      <c r="AY25" s="10"/>
      <c r="AZ25" s="20"/>
      <c r="BA25" s="10"/>
      <c r="BB25" s="20"/>
      <c r="BC25" s="10"/>
      <c r="BD25" s="20"/>
      <c r="BE25" s="10"/>
      <c r="BF25" s="20"/>
      <c r="BG25" s="10"/>
      <c r="BH25" s="20"/>
      <c r="BI25" s="10"/>
      <c r="BJ25" s="10"/>
      <c r="BK25" s="10"/>
      <c r="BL25" s="20"/>
      <c r="BM25" s="10"/>
      <c r="BN25" s="20"/>
      <c r="BO25" s="10"/>
      <c r="BP25" s="20"/>
      <c r="BQ25" s="10"/>
      <c r="BR25" s="10"/>
      <c r="BS25" s="10"/>
      <c r="BT25" s="20"/>
      <c r="BU25" s="10"/>
      <c r="BV25" s="20"/>
      <c r="BW25" s="10"/>
      <c r="BX25" s="20"/>
      <c r="BY25" s="10"/>
      <c r="BZ25" s="20"/>
    </row>
    <row r="26" spans="1:78" x14ac:dyDescent="0.25">
      <c r="A26" s="18" t="s">
        <v>0</v>
      </c>
      <c r="B26" s="21" t="s">
        <v>0</v>
      </c>
      <c r="C26" s="21" t="s">
        <v>0</v>
      </c>
      <c r="D26" s="21" t="s">
        <v>0</v>
      </c>
      <c r="E26" s="21" t="s">
        <v>0</v>
      </c>
      <c r="F26" s="21" t="s">
        <v>0</v>
      </c>
      <c r="G26" s="25" t="s">
        <v>56</v>
      </c>
      <c r="H26" s="26" t="s">
        <v>0</v>
      </c>
      <c r="I26" s="25" t="s">
        <v>0</v>
      </c>
      <c r="J26" s="25" t="s">
        <v>0</v>
      </c>
      <c r="K26" s="20">
        <f>SUM(K2:K25)</f>
        <v>184</v>
      </c>
      <c r="L26" s="20">
        <f t="shared" ref="L26:BW26" si="0">SUM(L2:L25)</f>
        <v>184</v>
      </c>
      <c r="M26" s="20">
        <f t="shared" si="0"/>
        <v>184</v>
      </c>
      <c r="N26" s="20">
        <f t="shared" si="0"/>
        <v>184</v>
      </c>
      <c r="O26" s="20">
        <f t="shared" si="0"/>
        <v>184</v>
      </c>
      <c r="P26" s="20">
        <f t="shared" si="0"/>
        <v>184</v>
      </c>
      <c r="Q26" s="20">
        <f t="shared" si="0"/>
        <v>184</v>
      </c>
      <c r="R26" s="20">
        <f t="shared" si="0"/>
        <v>184</v>
      </c>
      <c r="S26" s="20">
        <f t="shared" si="0"/>
        <v>184</v>
      </c>
      <c r="T26" s="20">
        <f t="shared" si="0"/>
        <v>184</v>
      </c>
      <c r="U26" s="20">
        <f t="shared" si="0"/>
        <v>184</v>
      </c>
      <c r="V26" s="20">
        <f t="shared" si="0"/>
        <v>184</v>
      </c>
      <c r="W26" s="20">
        <f t="shared" si="0"/>
        <v>184</v>
      </c>
      <c r="X26" s="20">
        <f t="shared" si="0"/>
        <v>184</v>
      </c>
      <c r="Y26" s="20">
        <f t="shared" si="0"/>
        <v>184</v>
      </c>
      <c r="Z26" s="20">
        <f t="shared" si="0"/>
        <v>184</v>
      </c>
      <c r="AA26" s="20">
        <f t="shared" si="0"/>
        <v>184</v>
      </c>
      <c r="AB26" s="20">
        <f t="shared" si="0"/>
        <v>184</v>
      </c>
      <c r="AC26" s="20">
        <f t="shared" si="0"/>
        <v>184</v>
      </c>
      <c r="AD26" s="20">
        <f t="shared" si="0"/>
        <v>184</v>
      </c>
      <c r="AE26" s="20">
        <f t="shared" si="0"/>
        <v>184</v>
      </c>
      <c r="AF26" s="20">
        <f t="shared" si="0"/>
        <v>184</v>
      </c>
      <c r="AG26" s="20">
        <f t="shared" si="0"/>
        <v>184</v>
      </c>
      <c r="AH26" s="20">
        <f t="shared" si="0"/>
        <v>184</v>
      </c>
      <c r="AI26" s="20">
        <f t="shared" si="0"/>
        <v>184</v>
      </c>
      <c r="AJ26" s="20">
        <f t="shared" si="0"/>
        <v>184</v>
      </c>
      <c r="AK26" s="20">
        <f t="shared" si="0"/>
        <v>184</v>
      </c>
      <c r="AL26" s="20">
        <f t="shared" si="0"/>
        <v>184</v>
      </c>
      <c r="AM26" s="20">
        <f t="shared" si="0"/>
        <v>184</v>
      </c>
      <c r="AN26" s="20">
        <f t="shared" si="0"/>
        <v>184</v>
      </c>
      <c r="AO26" s="20">
        <f t="shared" si="0"/>
        <v>184</v>
      </c>
      <c r="AP26" s="20">
        <f t="shared" si="0"/>
        <v>184</v>
      </c>
      <c r="AQ26" s="20">
        <f t="shared" si="0"/>
        <v>184</v>
      </c>
      <c r="AR26" s="20">
        <f t="shared" si="0"/>
        <v>184</v>
      </c>
      <c r="AS26" s="20">
        <f t="shared" si="0"/>
        <v>184</v>
      </c>
      <c r="AT26" s="20">
        <f t="shared" si="0"/>
        <v>184</v>
      </c>
      <c r="AU26" s="20">
        <f t="shared" si="0"/>
        <v>184</v>
      </c>
      <c r="AV26" s="20">
        <f t="shared" si="0"/>
        <v>184</v>
      </c>
      <c r="AW26" s="20">
        <f t="shared" si="0"/>
        <v>184</v>
      </c>
      <c r="AX26" s="20">
        <f t="shared" si="0"/>
        <v>184</v>
      </c>
      <c r="AY26" s="20">
        <f t="shared" si="0"/>
        <v>184</v>
      </c>
      <c r="AZ26" s="20">
        <f t="shared" si="0"/>
        <v>184</v>
      </c>
      <c r="BA26" s="20">
        <f t="shared" si="0"/>
        <v>184</v>
      </c>
      <c r="BB26" s="20">
        <f t="shared" si="0"/>
        <v>184</v>
      </c>
      <c r="BC26" s="20">
        <f t="shared" si="0"/>
        <v>184</v>
      </c>
      <c r="BD26" s="20">
        <f t="shared" si="0"/>
        <v>184</v>
      </c>
      <c r="BE26" s="20">
        <f t="shared" si="0"/>
        <v>184</v>
      </c>
      <c r="BF26" s="20">
        <f t="shared" si="0"/>
        <v>184</v>
      </c>
      <c r="BG26" s="20">
        <f t="shared" si="0"/>
        <v>184</v>
      </c>
      <c r="BH26" s="20">
        <f t="shared" si="0"/>
        <v>184</v>
      </c>
      <c r="BI26" s="20">
        <f t="shared" si="0"/>
        <v>184</v>
      </c>
      <c r="BJ26" s="20">
        <f t="shared" si="0"/>
        <v>184</v>
      </c>
      <c r="BK26" s="20">
        <f t="shared" si="0"/>
        <v>184</v>
      </c>
      <c r="BL26" s="20">
        <f t="shared" si="0"/>
        <v>184</v>
      </c>
      <c r="BM26" s="20">
        <f t="shared" si="0"/>
        <v>184</v>
      </c>
      <c r="BN26" s="20">
        <f t="shared" si="0"/>
        <v>184</v>
      </c>
      <c r="BO26" s="20">
        <f t="shared" si="0"/>
        <v>184</v>
      </c>
      <c r="BP26" s="20">
        <f t="shared" si="0"/>
        <v>184</v>
      </c>
      <c r="BQ26" s="20">
        <f t="shared" si="0"/>
        <v>184</v>
      </c>
      <c r="BR26" s="20">
        <f t="shared" si="0"/>
        <v>184</v>
      </c>
      <c r="BS26" s="20">
        <f t="shared" si="0"/>
        <v>184</v>
      </c>
      <c r="BT26" s="20">
        <f t="shared" si="0"/>
        <v>184</v>
      </c>
      <c r="BU26" s="20">
        <f t="shared" si="0"/>
        <v>184</v>
      </c>
      <c r="BV26" s="20">
        <f t="shared" si="0"/>
        <v>184</v>
      </c>
      <c r="BW26" s="20">
        <f t="shared" si="0"/>
        <v>184</v>
      </c>
      <c r="BX26" s="20">
        <f t="shared" ref="BX26:BZ26" si="1">SUM(BX2:BX25)</f>
        <v>184</v>
      </c>
      <c r="BY26" s="20">
        <f t="shared" si="1"/>
        <v>184</v>
      </c>
      <c r="BZ26" s="20">
        <f t="shared" si="1"/>
        <v>184</v>
      </c>
    </row>
  </sheetData>
  <mergeCells count="55">
    <mergeCell ref="B23:B25"/>
    <mergeCell ref="C23:C25"/>
    <mergeCell ref="D23:D25"/>
    <mergeCell ref="C8:C13"/>
    <mergeCell ref="D8:D13"/>
    <mergeCell ref="B14:B17"/>
    <mergeCell ref="C14:C17"/>
    <mergeCell ref="D14:D17"/>
    <mergeCell ref="B18:B22"/>
    <mergeCell ref="C18:C22"/>
    <mergeCell ref="D18:D22"/>
    <mergeCell ref="BQ2:BR2"/>
    <mergeCell ref="BS2:BT2"/>
    <mergeCell ref="BU2:BV2"/>
    <mergeCell ref="BW2:BX2"/>
    <mergeCell ref="BY2:BZ2"/>
    <mergeCell ref="A4:A25"/>
    <mergeCell ref="B4:B7"/>
    <mergeCell ref="C4:C7"/>
    <mergeCell ref="D4:D7"/>
    <mergeCell ref="B8:B13"/>
    <mergeCell ref="BE2:BF2"/>
    <mergeCell ref="BG2:BH2"/>
    <mergeCell ref="BI2:BJ2"/>
    <mergeCell ref="BK2:BL2"/>
    <mergeCell ref="BM2:BN2"/>
    <mergeCell ref="BO2:BP2"/>
    <mergeCell ref="AS2:AT2"/>
    <mergeCell ref="AU2:AV2"/>
    <mergeCell ref="AW2:AX2"/>
    <mergeCell ref="AY2:AZ2"/>
    <mergeCell ref="BA2:BB2"/>
    <mergeCell ref="BC2:BD2"/>
    <mergeCell ref="AG2:AH2"/>
    <mergeCell ref="AI2:AJ2"/>
    <mergeCell ref="AK2:AL2"/>
    <mergeCell ref="AM2:AN2"/>
    <mergeCell ref="AO2:AP2"/>
    <mergeCell ref="AQ2:AR2"/>
    <mergeCell ref="U2:V2"/>
    <mergeCell ref="W2:X2"/>
    <mergeCell ref="Y2:Z2"/>
    <mergeCell ref="AA2:AB2"/>
    <mergeCell ref="AC2:AD2"/>
    <mergeCell ref="AE2:AF2"/>
    <mergeCell ref="A1:J2"/>
    <mergeCell ref="K1:AN1"/>
    <mergeCell ref="AO1:BB1"/>
    <mergeCell ref="BC1:BN1"/>
    <mergeCell ref="BO1:BZ1"/>
    <mergeCell ref="K2:L2"/>
    <mergeCell ref="M2:N2"/>
    <mergeCell ref="O2:P2"/>
    <mergeCell ref="Q2:R2"/>
    <mergeCell ref="S2:T2"/>
  </mergeCells>
  <pageMargins left="0.25" right="0" top="1" bottom="0.95" header="0.25" footer="0.25"/>
  <pageSetup paperSize="5" orientation="landscape" horizontalDpi="300" verticalDpi="300"/>
  <headerFooter alignWithMargins="0">
    <oddHeader>&amp;L&amp;"Times New Roman,Regular"&amp;8 Check Date: 08\\31\\2023 
&amp;"-,Bold"&amp;11 Payroll Register Data Export YTD 
&amp;"-,Bold"&amp;8Page &amp;P of &amp;N 
&amp;"-,Regular"Process: 2023083101 
&amp;"-,Regular"Pay Period:  08/12/2023 to 08/27/2023 
&amp;"-,Regular"&amp;10 National Ski Patrol Syste</oddHeader>
    <oddFooter>&amp;L&amp;"Times New Roman,Regular"&amp;8 Paylocity Corporation
(888) 873-8205 
&amp;"-,Regular"User: mkurcz 
&amp;"-,Regular"Run on 8/29/2023 at 10:07 AM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D1026-E53B-49A3-B3D5-613F0BC71D5C}">
  <sheetPr codeName="Sheet4"/>
  <dimension ref="A1:AT64"/>
  <sheetViews>
    <sheetView showGridLines="0" workbookViewId="0">
      <selection activeCell="Q25" sqref="Q25"/>
    </sheetView>
  </sheetViews>
  <sheetFormatPr defaultRowHeight="15" x14ac:dyDescent="0.25"/>
  <cols>
    <col min="1" max="1" width="13.140625" style="1" bestFit="1" customWidth="1"/>
    <col min="2" max="2" width="20.140625" style="1" bestFit="1" customWidth="1"/>
    <col min="3" max="3" width="12.28515625" style="1" bestFit="1" customWidth="1"/>
    <col min="4" max="4" width="13.140625" style="1" bestFit="1" customWidth="1"/>
    <col min="5" max="5" width="11.28515625" style="1" customWidth="1"/>
    <col min="6" max="6" width="11.5703125" style="1" customWidth="1"/>
    <col min="7" max="7" width="8.7109375" style="1" customWidth="1"/>
    <col min="8" max="8" width="6.85546875" style="1" customWidth="1"/>
    <col min="9" max="9" width="7.42578125" style="1" bestFit="1" customWidth="1"/>
    <col min="10" max="10" width="7.42578125" style="29" bestFit="1" customWidth="1"/>
    <col min="11" max="11" width="6.85546875" style="1" customWidth="1"/>
    <col min="12" max="13" width="6.85546875" style="29" customWidth="1"/>
    <col min="14" max="25" width="6.85546875" style="1" customWidth="1"/>
    <col min="26" max="26" width="8.5703125" style="1" customWidth="1"/>
    <col min="27" max="32" width="6.85546875" style="1" customWidth="1"/>
    <col min="33" max="33" width="11" style="1" customWidth="1"/>
    <col min="34" max="46" width="6.85546875" style="1" customWidth="1"/>
    <col min="47" max="16384" width="9.140625" style="1"/>
  </cols>
  <sheetData>
    <row r="1" spans="1:46" ht="27" x14ac:dyDescent="0.25">
      <c r="A1" s="12" t="s">
        <v>40</v>
      </c>
      <c r="B1" s="12" t="s">
        <v>42</v>
      </c>
      <c r="C1" s="12" t="s">
        <v>43</v>
      </c>
      <c r="D1" s="12" t="s">
        <v>44</v>
      </c>
      <c r="E1" s="12" t="s">
        <v>45</v>
      </c>
      <c r="F1" s="12" t="s">
        <v>46</v>
      </c>
      <c r="G1" s="13" t="s">
        <v>47</v>
      </c>
      <c r="H1" s="14" t="s">
        <v>5</v>
      </c>
      <c r="I1" s="14" t="s">
        <v>6</v>
      </c>
      <c r="J1" s="14" t="s">
        <v>121</v>
      </c>
      <c r="K1" s="14" t="s">
        <v>7</v>
      </c>
      <c r="L1" s="14" t="s">
        <v>122</v>
      </c>
      <c r="M1" s="14" t="s">
        <v>123</v>
      </c>
      <c r="N1" s="14" t="s">
        <v>111</v>
      </c>
      <c r="O1" s="14" t="s">
        <v>8</v>
      </c>
      <c r="P1" s="14" t="s">
        <v>9</v>
      </c>
      <c r="Q1" s="14" t="s">
        <v>10</v>
      </c>
      <c r="R1" s="14" t="s">
        <v>11</v>
      </c>
      <c r="S1" s="14" t="s">
        <v>12</v>
      </c>
      <c r="T1" s="14" t="s">
        <v>13</v>
      </c>
      <c r="U1" s="14" t="s">
        <v>110</v>
      </c>
      <c r="V1" s="14" t="s">
        <v>14</v>
      </c>
      <c r="W1" s="14" t="s">
        <v>16</v>
      </c>
      <c r="X1" s="14" t="s">
        <v>17</v>
      </c>
      <c r="Y1" s="14" t="s">
        <v>18</v>
      </c>
      <c r="Z1" s="15" t="s">
        <v>19</v>
      </c>
      <c r="AA1" s="14" t="s">
        <v>20</v>
      </c>
      <c r="AB1" s="14" t="s">
        <v>21</v>
      </c>
      <c r="AC1" s="14" t="s">
        <v>22</v>
      </c>
      <c r="AD1" s="14" t="s">
        <v>23</v>
      </c>
      <c r="AE1" s="14" t="s">
        <v>24</v>
      </c>
      <c r="AF1" s="14" t="s">
        <v>25</v>
      </c>
      <c r="AG1" s="15" t="s">
        <v>26</v>
      </c>
      <c r="AH1" s="14" t="s">
        <v>27</v>
      </c>
      <c r="AI1" s="14" t="s">
        <v>28</v>
      </c>
      <c r="AJ1" s="14" t="s">
        <v>29</v>
      </c>
      <c r="AK1" s="14" t="s">
        <v>30</v>
      </c>
      <c r="AL1" s="14" t="s">
        <v>31</v>
      </c>
      <c r="AM1" s="15" t="s">
        <v>32</v>
      </c>
      <c r="AN1" s="14" t="s">
        <v>33</v>
      </c>
      <c r="AO1" s="14" t="s">
        <v>34</v>
      </c>
      <c r="AP1" s="14" t="s">
        <v>35</v>
      </c>
      <c r="AQ1" s="14" t="s">
        <v>36</v>
      </c>
      <c r="AR1" s="14" t="s">
        <v>37</v>
      </c>
      <c r="AS1" s="14" t="s">
        <v>15</v>
      </c>
      <c r="AT1" s="14" t="s">
        <v>38</v>
      </c>
    </row>
    <row r="2" spans="1:46" x14ac:dyDescent="0.25">
      <c r="A2" s="16"/>
      <c r="B2" s="17"/>
      <c r="C2" s="17"/>
      <c r="D2" s="18"/>
      <c r="E2" s="19"/>
      <c r="F2" s="18"/>
      <c r="G2" s="20"/>
      <c r="H2" s="10"/>
      <c r="I2" s="20"/>
      <c r="J2" s="20"/>
      <c r="K2" s="20"/>
      <c r="L2" s="20"/>
      <c r="M2" s="20"/>
      <c r="N2" s="20"/>
      <c r="O2" s="20"/>
      <c r="P2" s="20"/>
      <c r="Q2" s="20"/>
      <c r="R2" s="10"/>
      <c r="S2" s="20"/>
      <c r="T2" s="10"/>
      <c r="U2" s="10"/>
      <c r="V2" s="10"/>
      <c r="W2" s="10"/>
      <c r="X2" s="10"/>
      <c r="Y2" s="10"/>
      <c r="Z2" s="20"/>
      <c r="AA2" s="20"/>
      <c r="AB2" s="20"/>
      <c r="AC2" s="20"/>
      <c r="AD2" s="20"/>
      <c r="AE2" s="10"/>
      <c r="AF2" s="20"/>
      <c r="AG2" s="20"/>
      <c r="AH2" s="20"/>
      <c r="AI2" s="20"/>
      <c r="AJ2" s="20"/>
      <c r="AK2" s="10"/>
      <c r="AL2" s="20"/>
      <c r="AM2" s="20"/>
      <c r="AN2" s="20"/>
      <c r="AO2" s="10"/>
      <c r="AP2" s="20"/>
      <c r="AQ2" s="20"/>
      <c r="AR2" s="20"/>
      <c r="AS2" s="20"/>
      <c r="AT2" s="20"/>
    </row>
    <row r="3" spans="1:46" x14ac:dyDescent="0.25">
      <c r="A3" s="16"/>
      <c r="B3" s="17"/>
      <c r="C3" s="17"/>
      <c r="D3" s="18"/>
      <c r="E3" s="19"/>
      <c r="F3" s="18"/>
      <c r="G3" s="20"/>
      <c r="H3" s="10"/>
      <c r="I3" s="20"/>
      <c r="J3" s="20"/>
      <c r="K3" s="20"/>
      <c r="L3" s="20"/>
      <c r="M3" s="20"/>
      <c r="N3" s="20"/>
      <c r="O3" s="20"/>
      <c r="P3" s="20"/>
      <c r="Q3" s="20"/>
      <c r="R3" s="10"/>
      <c r="S3" s="20"/>
      <c r="T3" s="10"/>
      <c r="U3" s="10"/>
      <c r="V3" s="10"/>
      <c r="W3" s="10"/>
      <c r="X3" s="10"/>
      <c r="Y3" s="10"/>
      <c r="Z3" s="20"/>
      <c r="AA3" s="20"/>
      <c r="AB3" s="20"/>
      <c r="AC3" s="20"/>
      <c r="AD3" s="20"/>
      <c r="AE3" s="10"/>
      <c r="AF3" s="20"/>
      <c r="AG3" s="20"/>
      <c r="AH3" s="20"/>
      <c r="AI3" s="20"/>
      <c r="AJ3" s="20"/>
      <c r="AK3" s="10"/>
      <c r="AL3" s="20"/>
      <c r="AM3" s="20"/>
      <c r="AN3" s="10"/>
      <c r="AO3" s="20"/>
      <c r="AP3" s="20"/>
      <c r="AQ3" s="10"/>
      <c r="AR3" s="20"/>
      <c r="AS3" s="20"/>
      <c r="AT3" s="20"/>
    </row>
    <row r="4" spans="1:46" x14ac:dyDescent="0.25">
      <c r="A4" s="16"/>
      <c r="B4" s="17"/>
      <c r="C4" s="17"/>
      <c r="D4" s="18"/>
      <c r="E4" s="19"/>
      <c r="F4" s="18"/>
      <c r="G4" s="20"/>
      <c r="H4" s="10"/>
      <c r="I4" s="20"/>
      <c r="J4" s="20"/>
      <c r="K4" s="20"/>
      <c r="L4" s="20"/>
      <c r="M4" s="20"/>
      <c r="N4" s="20"/>
      <c r="O4" s="20"/>
      <c r="P4" s="20"/>
      <c r="Q4" s="20"/>
      <c r="R4" s="10"/>
      <c r="S4" s="20"/>
      <c r="T4" s="10"/>
      <c r="U4" s="10"/>
      <c r="V4" s="10"/>
      <c r="W4" s="10"/>
      <c r="X4" s="10"/>
      <c r="Y4" s="10"/>
      <c r="Z4" s="20"/>
      <c r="AA4" s="20"/>
      <c r="AB4" s="20"/>
      <c r="AC4" s="20"/>
      <c r="AD4" s="20"/>
      <c r="AE4" s="10"/>
      <c r="AF4" s="20"/>
      <c r="AG4" s="20"/>
      <c r="AH4" s="20"/>
      <c r="AI4" s="20"/>
      <c r="AJ4" s="20"/>
      <c r="AK4" s="10"/>
      <c r="AL4" s="20"/>
      <c r="AM4" s="20"/>
      <c r="AN4" s="20"/>
      <c r="AO4" s="10"/>
      <c r="AP4" s="20"/>
      <c r="AQ4" s="20"/>
      <c r="AR4" s="20"/>
      <c r="AS4" s="20"/>
      <c r="AT4" s="20"/>
    </row>
    <row r="5" spans="1:46" x14ac:dyDescent="0.25">
      <c r="A5" s="16"/>
      <c r="B5" s="17"/>
      <c r="C5" s="17"/>
      <c r="D5" s="18"/>
      <c r="E5" s="19"/>
      <c r="F5" s="18"/>
      <c r="G5" s="20"/>
      <c r="H5" s="10"/>
      <c r="I5" s="20"/>
      <c r="J5" s="20"/>
      <c r="K5" s="20"/>
      <c r="L5" s="20"/>
      <c r="M5" s="20"/>
      <c r="N5" s="20"/>
      <c r="O5" s="10"/>
      <c r="P5" s="10"/>
      <c r="Q5" s="10"/>
      <c r="R5" s="10"/>
      <c r="S5" s="20"/>
      <c r="T5" s="10"/>
      <c r="U5" s="10"/>
      <c r="V5" s="10"/>
      <c r="W5" s="10"/>
      <c r="X5" s="10"/>
      <c r="Y5" s="10"/>
      <c r="Z5" s="20"/>
      <c r="AA5" s="20"/>
      <c r="AB5" s="20"/>
      <c r="AC5" s="20"/>
      <c r="AD5" s="20"/>
      <c r="AE5" s="10"/>
      <c r="AF5" s="20"/>
      <c r="AG5" s="20"/>
      <c r="AH5" s="20"/>
      <c r="AI5" s="20"/>
      <c r="AJ5" s="20"/>
      <c r="AK5" s="10"/>
      <c r="AL5" s="20"/>
      <c r="AM5" s="20"/>
      <c r="AN5" s="20"/>
      <c r="AO5" s="10"/>
      <c r="AP5" s="10"/>
      <c r="AQ5" s="10"/>
      <c r="AR5" s="10"/>
      <c r="AS5" s="10"/>
      <c r="AT5" s="10"/>
    </row>
    <row r="6" spans="1:46" x14ac:dyDescent="0.25">
      <c r="A6" s="16"/>
      <c r="B6" s="17"/>
      <c r="C6" s="17"/>
      <c r="D6" s="18"/>
      <c r="E6" s="19"/>
      <c r="F6" s="18"/>
      <c r="G6" s="20"/>
      <c r="H6" s="10"/>
      <c r="I6" s="20"/>
      <c r="J6" s="20"/>
      <c r="K6" s="10"/>
      <c r="L6" s="10"/>
      <c r="M6" s="10"/>
      <c r="N6" s="10"/>
      <c r="O6" s="10"/>
      <c r="P6" s="10"/>
      <c r="Q6" s="10"/>
      <c r="R6" s="10"/>
      <c r="S6" s="20"/>
      <c r="T6" s="10"/>
      <c r="U6" s="10"/>
      <c r="V6" s="10"/>
      <c r="W6" s="10"/>
      <c r="X6" s="10"/>
      <c r="Y6" s="10"/>
      <c r="Z6" s="20"/>
      <c r="AA6" s="20"/>
      <c r="AB6" s="20"/>
      <c r="AC6" s="20"/>
      <c r="AD6" s="20"/>
      <c r="AE6" s="10"/>
      <c r="AF6" s="20"/>
      <c r="AG6" s="20"/>
      <c r="AH6" s="20"/>
      <c r="AI6" s="20"/>
      <c r="AJ6" s="20"/>
      <c r="AK6" s="10"/>
      <c r="AL6" s="20"/>
      <c r="AM6" s="20"/>
      <c r="AN6" s="10"/>
      <c r="AO6" s="10"/>
      <c r="AP6" s="10"/>
      <c r="AQ6" s="10"/>
      <c r="AR6" s="10"/>
      <c r="AS6" s="10"/>
      <c r="AT6" s="10"/>
    </row>
    <row r="7" spans="1:46" x14ac:dyDescent="0.25">
      <c r="A7" s="16"/>
      <c r="B7" s="17"/>
      <c r="C7" s="17"/>
      <c r="D7" s="18"/>
      <c r="E7" s="19"/>
      <c r="F7" s="18"/>
      <c r="G7" s="20"/>
      <c r="H7" s="10"/>
      <c r="I7" s="20"/>
      <c r="J7" s="20"/>
      <c r="K7" s="10"/>
      <c r="L7" s="10"/>
      <c r="M7" s="10"/>
      <c r="N7" s="10"/>
      <c r="O7" s="20"/>
      <c r="P7" s="20"/>
      <c r="Q7" s="20"/>
      <c r="R7" s="10"/>
      <c r="S7" s="20"/>
      <c r="T7" s="10"/>
      <c r="U7" s="10"/>
      <c r="V7" s="10"/>
      <c r="W7" s="10"/>
      <c r="X7" s="10"/>
      <c r="Y7" s="20"/>
      <c r="Z7" s="20"/>
      <c r="AA7" s="20"/>
      <c r="AB7" s="20"/>
      <c r="AC7" s="20"/>
      <c r="AD7" s="20"/>
      <c r="AE7" s="10"/>
      <c r="AF7" s="20"/>
      <c r="AG7" s="20"/>
      <c r="AH7" s="20"/>
      <c r="AI7" s="20"/>
      <c r="AJ7" s="20"/>
      <c r="AK7" s="10"/>
      <c r="AL7" s="20"/>
      <c r="AM7" s="20"/>
      <c r="AN7" s="10"/>
      <c r="AO7" s="10"/>
      <c r="AP7" s="20"/>
      <c r="AQ7" s="20"/>
      <c r="AR7" s="20"/>
      <c r="AS7" s="20"/>
      <c r="AT7" s="20"/>
    </row>
    <row r="8" spans="1:46" x14ac:dyDescent="0.25">
      <c r="A8" s="16"/>
      <c r="B8" s="17"/>
      <c r="C8" s="17"/>
      <c r="D8" s="18"/>
      <c r="E8" s="19"/>
      <c r="F8" s="18"/>
      <c r="G8" s="20"/>
      <c r="H8" s="10"/>
      <c r="I8" s="20"/>
      <c r="J8" s="20"/>
      <c r="K8" s="20"/>
      <c r="L8" s="20"/>
      <c r="M8" s="20"/>
      <c r="N8" s="20"/>
      <c r="O8" s="20"/>
      <c r="P8" s="10"/>
      <c r="Q8" s="20"/>
      <c r="R8" s="10"/>
      <c r="S8" s="20"/>
      <c r="T8" s="10"/>
      <c r="U8" s="10"/>
      <c r="V8" s="10"/>
      <c r="W8" s="10"/>
      <c r="X8" s="10"/>
      <c r="Y8" s="10"/>
      <c r="Z8" s="20"/>
      <c r="AA8" s="20"/>
      <c r="AB8" s="20"/>
      <c r="AC8" s="20"/>
      <c r="AD8" s="10"/>
      <c r="AE8" s="20"/>
      <c r="AF8" s="10"/>
      <c r="AG8" s="20"/>
      <c r="AH8" s="20"/>
      <c r="AI8" s="20"/>
      <c r="AJ8" s="10"/>
      <c r="AK8" s="20"/>
      <c r="AL8" s="10"/>
      <c r="AM8" s="20"/>
      <c r="AN8" s="20"/>
      <c r="AO8" s="10"/>
      <c r="AP8" s="20"/>
      <c r="AQ8" s="10"/>
      <c r="AR8" s="20"/>
      <c r="AS8" s="20"/>
      <c r="AT8" s="20"/>
    </row>
    <row r="9" spans="1:46" x14ac:dyDescent="0.25">
      <c r="A9" s="16"/>
      <c r="B9" s="17"/>
      <c r="C9" s="17"/>
      <c r="D9" s="18"/>
      <c r="E9" s="19"/>
      <c r="F9" s="18"/>
      <c r="G9" s="20"/>
      <c r="H9" s="10"/>
      <c r="I9" s="20"/>
      <c r="J9" s="20"/>
      <c r="K9" s="20"/>
      <c r="L9" s="20"/>
      <c r="M9" s="20"/>
      <c r="N9" s="20"/>
      <c r="O9" s="20"/>
      <c r="P9" s="20"/>
      <c r="Q9" s="10"/>
      <c r="R9" s="10"/>
      <c r="S9" s="20"/>
      <c r="T9" s="10"/>
      <c r="U9" s="10"/>
      <c r="V9" s="10"/>
      <c r="W9" s="10"/>
      <c r="X9" s="10"/>
      <c r="Y9" s="10"/>
      <c r="Z9" s="20"/>
      <c r="AA9" s="20"/>
      <c r="AB9" s="20"/>
      <c r="AC9" s="20"/>
      <c r="AD9" s="20"/>
      <c r="AE9" s="10"/>
      <c r="AF9" s="20"/>
      <c r="AG9" s="20"/>
      <c r="AH9" s="20"/>
      <c r="AI9" s="20"/>
      <c r="AJ9" s="20"/>
      <c r="AK9" s="10"/>
      <c r="AL9" s="20"/>
      <c r="AM9" s="20"/>
      <c r="AN9" s="10"/>
      <c r="AO9" s="20"/>
      <c r="AP9" s="20"/>
      <c r="AQ9" s="10"/>
      <c r="AR9" s="10"/>
      <c r="AS9" s="10"/>
      <c r="AT9" s="10"/>
    </row>
    <row r="10" spans="1:46" x14ac:dyDescent="0.25">
      <c r="A10" s="16"/>
      <c r="B10" s="17"/>
      <c r="C10" s="17"/>
      <c r="D10" s="18"/>
      <c r="E10" s="19"/>
      <c r="F10" s="18"/>
      <c r="G10" s="20"/>
      <c r="H10" s="10"/>
      <c r="I10" s="20"/>
      <c r="J10" s="20"/>
      <c r="K10" s="20"/>
      <c r="L10" s="20"/>
      <c r="M10" s="20"/>
      <c r="N10" s="20"/>
      <c r="O10" s="20"/>
      <c r="P10" s="20"/>
      <c r="Q10" s="20"/>
      <c r="R10" s="10"/>
      <c r="S10" s="20"/>
      <c r="T10" s="10"/>
      <c r="U10" s="10"/>
      <c r="V10" s="10"/>
      <c r="W10" s="10"/>
      <c r="X10" s="10"/>
      <c r="Y10" s="10"/>
      <c r="Z10" s="20"/>
      <c r="AA10" s="20"/>
      <c r="AB10" s="20"/>
      <c r="AC10" s="20"/>
      <c r="AD10" s="20"/>
      <c r="AE10" s="10"/>
      <c r="AF10" s="20"/>
      <c r="AG10" s="20"/>
      <c r="AH10" s="20"/>
      <c r="AI10" s="20"/>
      <c r="AJ10" s="20"/>
      <c r="AK10" s="10"/>
      <c r="AL10" s="20"/>
      <c r="AM10" s="20"/>
      <c r="AN10" s="20"/>
      <c r="AO10" s="10"/>
      <c r="AP10" s="20"/>
      <c r="AQ10" s="20"/>
      <c r="AR10" s="20"/>
      <c r="AS10" s="20"/>
      <c r="AT10" s="20"/>
    </row>
    <row r="11" spans="1:46" x14ac:dyDescent="0.25">
      <c r="A11" s="16"/>
      <c r="B11" s="17"/>
      <c r="C11" s="17"/>
      <c r="D11" s="18"/>
      <c r="E11" s="19"/>
      <c r="F11" s="18"/>
      <c r="G11" s="20"/>
      <c r="H11" s="10"/>
      <c r="I11" s="20"/>
      <c r="J11" s="20"/>
      <c r="K11" s="20"/>
      <c r="L11" s="20"/>
      <c r="M11" s="20"/>
      <c r="N11" s="20"/>
      <c r="O11" s="20"/>
      <c r="P11" s="20"/>
      <c r="Q11" s="20"/>
      <c r="R11" s="10"/>
      <c r="S11" s="20"/>
      <c r="T11" s="10"/>
      <c r="U11" s="10"/>
      <c r="V11" s="10"/>
      <c r="W11" s="10"/>
      <c r="X11" s="10"/>
      <c r="Y11" s="10"/>
      <c r="Z11" s="20"/>
      <c r="AA11" s="20"/>
      <c r="AB11" s="20"/>
      <c r="AC11" s="20"/>
      <c r="AD11" s="20"/>
      <c r="AE11" s="10"/>
      <c r="AF11" s="20"/>
      <c r="AG11" s="20"/>
      <c r="AH11" s="20"/>
      <c r="AI11" s="20"/>
      <c r="AJ11" s="20"/>
      <c r="AK11" s="10"/>
      <c r="AL11" s="20"/>
      <c r="AM11" s="20"/>
      <c r="AN11" s="20"/>
      <c r="AO11" s="10"/>
      <c r="AP11" s="20"/>
      <c r="AQ11" s="20"/>
      <c r="AR11" s="20"/>
      <c r="AS11" s="20"/>
      <c r="AT11" s="20"/>
    </row>
    <row r="12" spans="1:46" x14ac:dyDescent="0.25">
      <c r="A12" s="16"/>
      <c r="B12" s="17"/>
      <c r="C12" s="17"/>
      <c r="D12" s="18"/>
      <c r="E12" s="19"/>
      <c r="F12" s="18"/>
      <c r="G12" s="20"/>
      <c r="H12" s="10"/>
      <c r="I12" s="20"/>
      <c r="J12" s="20"/>
      <c r="K12" s="10"/>
      <c r="L12" s="10"/>
      <c r="M12" s="10"/>
      <c r="N12" s="10"/>
      <c r="O12" s="10"/>
      <c r="P12" s="10"/>
      <c r="Q12" s="10"/>
      <c r="R12" s="10"/>
      <c r="S12" s="20"/>
      <c r="T12" s="10"/>
      <c r="U12" s="10"/>
      <c r="V12" s="10"/>
      <c r="W12" s="10"/>
      <c r="X12" s="10"/>
      <c r="Y12" s="10"/>
      <c r="Z12" s="20"/>
      <c r="AA12" s="20"/>
      <c r="AB12" s="20"/>
      <c r="AC12" s="20"/>
      <c r="AD12" s="20"/>
      <c r="AE12" s="10"/>
      <c r="AF12" s="20"/>
      <c r="AG12" s="20"/>
      <c r="AH12" s="20"/>
      <c r="AI12" s="20"/>
      <c r="AJ12" s="20"/>
      <c r="AK12" s="10"/>
      <c r="AL12" s="20"/>
      <c r="AM12" s="20"/>
      <c r="AN12" s="10"/>
      <c r="AO12" s="10"/>
      <c r="AP12" s="10"/>
      <c r="AQ12" s="10"/>
      <c r="AR12" s="10"/>
      <c r="AS12" s="10"/>
      <c r="AT12" s="10"/>
    </row>
    <row r="13" spans="1:46" x14ac:dyDescent="0.25">
      <c r="A13" s="16"/>
      <c r="B13" s="17"/>
      <c r="C13" s="17"/>
      <c r="D13" s="18"/>
      <c r="E13" s="19"/>
      <c r="F13" s="18"/>
      <c r="G13" s="20"/>
      <c r="H13" s="20"/>
      <c r="I13" s="10"/>
      <c r="J13" s="10"/>
      <c r="K13" s="10"/>
      <c r="L13" s="10"/>
      <c r="M13" s="10"/>
      <c r="N13" s="10"/>
      <c r="O13" s="10"/>
      <c r="P13" s="10"/>
      <c r="Q13" s="10"/>
      <c r="R13" s="20"/>
      <c r="S13" s="20"/>
      <c r="T13" s="10"/>
      <c r="U13" s="10"/>
      <c r="V13" s="10"/>
      <c r="W13" s="10"/>
      <c r="X13" s="10"/>
      <c r="Y13" s="10"/>
      <c r="Z13" s="20"/>
      <c r="AA13" s="20"/>
      <c r="AB13" s="20"/>
      <c r="AC13" s="20"/>
      <c r="AD13" s="20"/>
      <c r="AE13" s="10"/>
      <c r="AF13" s="20"/>
      <c r="AG13" s="20"/>
      <c r="AH13" s="20"/>
      <c r="AI13" s="20"/>
      <c r="AJ13" s="20"/>
      <c r="AK13" s="10"/>
      <c r="AL13" s="20"/>
      <c r="AM13" s="20"/>
      <c r="AN13" s="10"/>
      <c r="AO13" s="10"/>
      <c r="AP13" s="10"/>
      <c r="AQ13" s="10"/>
      <c r="AR13" s="10"/>
      <c r="AS13" s="10"/>
      <c r="AT13" s="10"/>
    </row>
    <row r="14" spans="1:46" x14ac:dyDescent="0.25">
      <c r="A14" s="16"/>
      <c r="B14" s="17"/>
      <c r="C14" s="17"/>
      <c r="D14" s="18"/>
      <c r="E14" s="19"/>
      <c r="F14" s="18"/>
      <c r="G14" s="20"/>
      <c r="H14" s="10"/>
      <c r="I14" s="20"/>
      <c r="J14" s="20"/>
      <c r="K14" s="20"/>
      <c r="L14" s="20"/>
      <c r="M14" s="20"/>
      <c r="N14" s="20"/>
      <c r="O14" s="20"/>
      <c r="P14" s="20"/>
      <c r="Q14" s="10"/>
      <c r="R14" s="10"/>
      <c r="S14" s="20"/>
      <c r="T14" s="20"/>
      <c r="U14" s="20"/>
      <c r="V14" s="20"/>
      <c r="W14" s="10"/>
      <c r="X14" s="10"/>
      <c r="Y14" s="10"/>
      <c r="Z14" s="20"/>
      <c r="AA14" s="20"/>
      <c r="AB14" s="20"/>
      <c r="AC14" s="20"/>
      <c r="AD14" s="20"/>
      <c r="AE14" s="10"/>
      <c r="AF14" s="20"/>
      <c r="AG14" s="20"/>
      <c r="AH14" s="20"/>
      <c r="AI14" s="20"/>
      <c r="AJ14" s="20"/>
      <c r="AK14" s="10"/>
      <c r="AL14" s="20"/>
      <c r="AM14" s="20"/>
      <c r="AN14" s="20"/>
      <c r="AO14" s="20"/>
      <c r="AP14" s="20"/>
      <c r="AQ14" s="20"/>
      <c r="AR14" s="10"/>
      <c r="AS14" s="10"/>
      <c r="AT14" s="10"/>
    </row>
    <row r="15" spans="1:46" x14ac:dyDescent="0.25">
      <c r="A15" s="16"/>
      <c r="B15" s="17"/>
      <c r="C15" s="17"/>
      <c r="D15" s="18"/>
      <c r="E15" s="19"/>
      <c r="F15" s="18"/>
      <c r="G15" s="20"/>
      <c r="H15" s="10"/>
      <c r="I15" s="20"/>
      <c r="J15" s="20"/>
      <c r="K15" s="20"/>
      <c r="L15" s="20"/>
      <c r="M15" s="20"/>
      <c r="N15" s="20"/>
      <c r="O15" s="20"/>
      <c r="P15" s="10"/>
      <c r="Q15" s="20"/>
      <c r="R15" s="10"/>
      <c r="S15" s="20"/>
      <c r="T15" s="10"/>
      <c r="U15" s="10"/>
      <c r="V15" s="20"/>
      <c r="W15" s="20"/>
      <c r="X15" s="10"/>
      <c r="Y15" s="10"/>
      <c r="Z15" s="20"/>
      <c r="AA15" s="20"/>
      <c r="AB15" s="20"/>
      <c r="AC15" s="20"/>
      <c r="AD15" s="20"/>
      <c r="AE15" s="10"/>
      <c r="AF15" s="20"/>
      <c r="AG15" s="20"/>
      <c r="AH15" s="20"/>
      <c r="AI15" s="20"/>
      <c r="AJ15" s="20"/>
      <c r="AK15" s="10"/>
      <c r="AL15" s="20"/>
      <c r="AM15" s="20"/>
      <c r="AN15" s="20"/>
      <c r="AO15" s="10"/>
      <c r="AP15" s="20"/>
      <c r="AQ15" s="10"/>
      <c r="AR15" s="20"/>
      <c r="AS15" s="20"/>
      <c r="AT15" s="20"/>
    </row>
    <row r="16" spans="1:46" x14ac:dyDescent="0.25">
      <c r="A16" s="16"/>
      <c r="B16" s="17"/>
      <c r="C16" s="17"/>
      <c r="D16" s="18"/>
      <c r="E16" s="19"/>
      <c r="F16" s="18"/>
      <c r="G16" s="20"/>
      <c r="H16" s="10"/>
      <c r="I16" s="20"/>
      <c r="J16" s="20"/>
      <c r="K16" s="20"/>
      <c r="L16" s="20"/>
      <c r="M16" s="20"/>
      <c r="N16" s="20"/>
      <c r="O16" s="20"/>
      <c r="P16" s="20"/>
      <c r="Q16" s="20"/>
      <c r="R16" s="10"/>
      <c r="S16" s="20"/>
      <c r="T16" s="10"/>
      <c r="U16" s="10"/>
      <c r="V16" s="10"/>
      <c r="W16" s="10"/>
      <c r="X16" s="10"/>
      <c r="Y16" s="10"/>
      <c r="Z16" s="20"/>
      <c r="AA16" s="20"/>
      <c r="AB16" s="20"/>
      <c r="AC16" s="20"/>
      <c r="AD16" s="20"/>
      <c r="AE16" s="10"/>
      <c r="AF16" s="20"/>
      <c r="AG16" s="20"/>
      <c r="AH16" s="20"/>
      <c r="AI16" s="20"/>
      <c r="AJ16" s="20"/>
      <c r="AK16" s="10"/>
      <c r="AL16" s="20"/>
      <c r="AM16" s="20"/>
      <c r="AN16" s="20"/>
      <c r="AO16" s="10"/>
      <c r="AP16" s="20"/>
      <c r="AQ16" s="20"/>
      <c r="AR16" s="20"/>
      <c r="AS16" s="20"/>
      <c r="AT16" s="20"/>
    </row>
    <row r="17" spans="1:46" x14ac:dyDescent="0.25">
      <c r="A17" s="16"/>
      <c r="B17" s="17"/>
      <c r="C17" s="17"/>
      <c r="D17" s="18"/>
      <c r="E17" s="19"/>
      <c r="F17" s="18"/>
      <c r="G17" s="20"/>
      <c r="H17" s="10"/>
      <c r="I17" s="20"/>
      <c r="J17" s="20"/>
      <c r="K17" s="20"/>
      <c r="L17" s="20"/>
      <c r="M17" s="20"/>
      <c r="N17" s="20"/>
      <c r="O17" s="20"/>
      <c r="P17" s="20"/>
      <c r="Q17" s="10"/>
      <c r="R17" s="10"/>
      <c r="S17" s="20"/>
      <c r="T17" s="10"/>
      <c r="U17" s="10"/>
      <c r="V17" s="20"/>
      <c r="W17" s="10"/>
      <c r="X17" s="20"/>
      <c r="Y17" s="10"/>
      <c r="Z17" s="20"/>
      <c r="AA17" s="20"/>
      <c r="AB17" s="20"/>
      <c r="AC17" s="20"/>
      <c r="AD17" s="20"/>
      <c r="AE17" s="10"/>
      <c r="AF17" s="20"/>
      <c r="AG17" s="20"/>
      <c r="AH17" s="20"/>
      <c r="AI17" s="20"/>
      <c r="AJ17" s="20"/>
      <c r="AK17" s="10"/>
      <c r="AL17" s="20"/>
      <c r="AM17" s="20"/>
      <c r="AN17" s="20"/>
      <c r="AO17" s="10"/>
      <c r="AP17" s="20"/>
      <c r="AQ17" s="20"/>
      <c r="AR17" s="10"/>
      <c r="AS17" s="10"/>
      <c r="AT17" s="10"/>
    </row>
    <row r="18" spans="1:46" x14ac:dyDescent="0.25">
      <c r="A18" s="16"/>
      <c r="B18" s="17"/>
      <c r="C18" s="17"/>
      <c r="D18" s="18"/>
      <c r="E18" s="19"/>
      <c r="F18" s="18"/>
      <c r="G18" s="20"/>
      <c r="H18" s="10"/>
      <c r="I18" s="20"/>
      <c r="J18" s="20"/>
      <c r="K18" s="20"/>
      <c r="L18" s="20"/>
      <c r="M18" s="20"/>
      <c r="N18" s="20"/>
      <c r="O18" s="20"/>
      <c r="P18" s="20"/>
      <c r="Q18" s="10"/>
      <c r="R18" s="10"/>
      <c r="S18" s="20"/>
      <c r="T18" s="10"/>
      <c r="U18" s="10"/>
      <c r="V18" s="20"/>
      <c r="W18" s="10"/>
      <c r="X18" s="20"/>
      <c r="Y18" s="10"/>
      <c r="Z18" s="20"/>
      <c r="AA18" s="20"/>
      <c r="AB18" s="20"/>
      <c r="AC18" s="20"/>
      <c r="AD18" s="20"/>
      <c r="AE18" s="10"/>
      <c r="AF18" s="20"/>
      <c r="AG18" s="20"/>
      <c r="AH18" s="20"/>
      <c r="AI18" s="20"/>
      <c r="AJ18" s="20"/>
      <c r="AK18" s="10"/>
      <c r="AL18" s="20"/>
      <c r="AM18" s="20"/>
      <c r="AN18" s="20"/>
      <c r="AO18" s="10"/>
      <c r="AP18" s="20"/>
      <c r="AQ18" s="20"/>
      <c r="AR18" s="10"/>
      <c r="AS18" s="10"/>
      <c r="AT18" s="10"/>
    </row>
    <row r="19" spans="1:46" x14ac:dyDescent="0.25">
      <c r="A19" s="16"/>
      <c r="B19" s="17"/>
      <c r="C19" s="17"/>
      <c r="D19" s="18"/>
      <c r="E19" s="19"/>
      <c r="F19" s="18"/>
      <c r="G19" s="20"/>
      <c r="H19" s="10"/>
      <c r="I19" s="20"/>
      <c r="J19" s="20"/>
      <c r="K19" s="20"/>
      <c r="L19" s="20"/>
      <c r="M19" s="20"/>
      <c r="N19" s="20"/>
      <c r="O19" s="20"/>
      <c r="P19" s="20"/>
      <c r="Q19" s="10"/>
      <c r="R19" s="10"/>
      <c r="S19" s="20"/>
      <c r="T19" s="10"/>
      <c r="U19" s="10"/>
      <c r="V19" s="20"/>
      <c r="W19" s="10"/>
      <c r="X19" s="20"/>
      <c r="Y19" s="10"/>
      <c r="Z19" s="20"/>
      <c r="AA19" s="20"/>
      <c r="AB19" s="20"/>
      <c r="AC19" s="20"/>
      <c r="AD19" s="20"/>
      <c r="AE19" s="10"/>
      <c r="AF19" s="20"/>
      <c r="AG19" s="20"/>
      <c r="AH19" s="20"/>
      <c r="AI19" s="20"/>
      <c r="AJ19" s="20"/>
      <c r="AK19" s="10"/>
      <c r="AL19" s="20"/>
      <c r="AM19" s="20"/>
      <c r="AN19" s="20"/>
      <c r="AO19" s="10"/>
      <c r="AP19" s="20"/>
      <c r="AQ19" s="20"/>
      <c r="AR19" s="10"/>
      <c r="AS19" s="10"/>
      <c r="AT19" s="10"/>
    </row>
    <row r="20" spans="1:46" x14ac:dyDescent="0.25">
      <c r="A20" s="16"/>
      <c r="B20" s="17"/>
      <c r="C20" s="17"/>
      <c r="D20" s="18"/>
      <c r="E20" s="19"/>
      <c r="F20" s="18"/>
      <c r="G20" s="20"/>
      <c r="H20" s="10"/>
      <c r="I20" s="20"/>
      <c r="J20" s="20"/>
      <c r="K20" s="20"/>
      <c r="L20" s="20"/>
      <c r="M20" s="20"/>
      <c r="N20" s="20"/>
      <c r="O20" s="20"/>
      <c r="P20" s="20"/>
      <c r="Q20" s="10"/>
      <c r="R20" s="10"/>
      <c r="S20" s="20"/>
      <c r="T20" s="10"/>
      <c r="U20" s="10"/>
      <c r="V20" s="20"/>
      <c r="W20" s="10"/>
      <c r="X20" s="20"/>
      <c r="Y20" s="10"/>
      <c r="Z20" s="20"/>
      <c r="AA20" s="20"/>
      <c r="AB20" s="20"/>
      <c r="AC20" s="20"/>
      <c r="AD20" s="20"/>
      <c r="AE20" s="10"/>
      <c r="AF20" s="20"/>
      <c r="AG20" s="20"/>
      <c r="AH20" s="20"/>
      <c r="AI20" s="20"/>
      <c r="AJ20" s="20"/>
      <c r="AK20" s="10"/>
      <c r="AL20" s="20"/>
      <c r="AM20" s="20"/>
      <c r="AN20" s="20"/>
      <c r="AO20" s="10"/>
      <c r="AP20" s="20"/>
      <c r="AQ20" s="20"/>
      <c r="AR20" s="10"/>
      <c r="AS20" s="10"/>
      <c r="AT20" s="10"/>
    </row>
    <row r="21" spans="1:46" x14ac:dyDescent="0.25">
      <c r="A21" s="16"/>
      <c r="B21" s="17"/>
      <c r="C21" s="17"/>
      <c r="D21" s="18"/>
      <c r="E21" s="19"/>
      <c r="F21" s="18"/>
      <c r="G21" s="20"/>
      <c r="H21" s="20"/>
      <c r="I21" s="10"/>
      <c r="J21" s="10"/>
      <c r="K21" s="20"/>
      <c r="L21" s="20"/>
      <c r="M21" s="20"/>
      <c r="N21" s="20"/>
      <c r="O21" s="20"/>
      <c r="P21" s="20"/>
      <c r="Q21" s="20"/>
      <c r="R21" s="10"/>
      <c r="S21" s="20"/>
      <c r="T21" s="10"/>
      <c r="U21" s="10"/>
      <c r="V21" s="10"/>
      <c r="W21" s="10"/>
      <c r="X21" s="20"/>
      <c r="Y21" s="10"/>
      <c r="Z21" s="20"/>
      <c r="AA21" s="20"/>
      <c r="AB21" s="20"/>
      <c r="AC21" s="20"/>
      <c r="AD21" s="20"/>
      <c r="AE21" s="10"/>
      <c r="AF21" s="20"/>
      <c r="AG21" s="20"/>
      <c r="AH21" s="20"/>
      <c r="AI21" s="20"/>
      <c r="AJ21" s="20"/>
      <c r="AK21" s="10"/>
      <c r="AL21" s="20"/>
      <c r="AM21" s="20"/>
      <c r="AN21" s="20"/>
      <c r="AO21" s="10"/>
      <c r="AP21" s="20"/>
      <c r="AQ21" s="20"/>
      <c r="AR21" s="20"/>
      <c r="AS21" s="20"/>
      <c r="AT21" s="20"/>
    </row>
    <row r="22" spans="1:46" x14ac:dyDescent="0.25">
      <c r="A22" s="21"/>
      <c r="B22" s="21"/>
      <c r="C22" s="21"/>
      <c r="D22" s="22"/>
      <c r="E22" s="23"/>
      <c r="F22" s="22"/>
      <c r="G22" s="24"/>
      <c r="H22" s="20"/>
      <c r="I22" s="10"/>
      <c r="J22" s="1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10"/>
      <c r="W22" s="10"/>
      <c r="X22" s="10"/>
      <c r="Y22" s="20"/>
      <c r="Z22" s="20"/>
      <c r="AA22" s="20"/>
      <c r="AB22" s="20"/>
      <c r="AC22" s="20"/>
      <c r="AD22" s="20"/>
      <c r="AE22" s="10"/>
      <c r="AF22" s="20"/>
      <c r="AG22" s="20"/>
      <c r="AH22" s="20"/>
      <c r="AI22" s="20"/>
      <c r="AJ22" s="20"/>
      <c r="AK22" s="10"/>
      <c r="AL22" s="20"/>
      <c r="AM22" s="20"/>
      <c r="AN22" s="20"/>
      <c r="AO22" s="10"/>
      <c r="AP22" s="20"/>
      <c r="AQ22" s="20"/>
      <c r="AR22" s="20"/>
      <c r="AS22" s="20"/>
      <c r="AT22" s="20"/>
    </row>
    <row r="23" spans="1:46" x14ac:dyDescent="0.25">
      <c r="A23" s="21"/>
      <c r="B23" s="21"/>
      <c r="C23" s="21"/>
      <c r="D23" s="22"/>
      <c r="E23" s="23"/>
      <c r="F23" s="22"/>
      <c r="G23" s="24"/>
      <c r="H23" s="20"/>
      <c r="I23" s="10"/>
      <c r="J23" s="1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10"/>
      <c r="W23" s="10"/>
      <c r="X23" s="10"/>
      <c r="Y23" s="20"/>
      <c r="Z23" s="20"/>
      <c r="AA23" s="20"/>
      <c r="AB23" s="20"/>
      <c r="AC23" s="20"/>
      <c r="AD23" s="20"/>
      <c r="AE23" s="10"/>
      <c r="AF23" s="20"/>
      <c r="AG23" s="20"/>
      <c r="AH23" s="20"/>
      <c r="AI23" s="20"/>
      <c r="AJ23" s="20"/>
      <c r="AK23" s="10"/>
      <c r="AL23" s="20"/>
      <c r="AM23" s="20"/>
      <c r="AN23" s="20"/>
      <c r="AO23" s="10"/>
      <c r="AP23" s="20"/>
      <c r="AQ23" s="20"/>
      <c r="AR23" s="20"/>
      <c r="AS23" s="20"/>
      <c r="AT23" s="20"/>
    </row>
    <row r="24" spans="1:46" x14ac:dyDescent="0.25">
      <c r="A24" s="21" t="s">
        <v>0</v>
      </c>
      <c r="B24" s="21" t="s">
        <v>0</v>
      </c>
      <c r="C24" s="21" t="s">
        <v>0</v>
      </c>
      <c r="D24" s="25" t="s">
        <v>56</v>
      </c>
      <c r="E24" s="26" t="s">
        <v>0</v>
      </c>
      <c r="F24" s="25" t="s">
        <v>0</v>
      </c>
      <c r="G24" s="27">
        <f t="shared" ref="G24:AR24" si="0">SUM(G2:G23)</f>
        <v>0</v>
      </c>
      <c r="H24" s="27">
        <f t="shared" si="0"/>
        <v>0</v>
      </c>
      <c r="I24" s="27">
        <f t="shared" si="0"/>
        <v>0</v>
      </c>
      <c r="J24" s="27"/>
      <c r="K24" s="27">
        <f t="shared" si="0"/>
        <v>0</v>
      </c>
      <c r="L24" s="27"/>
      <c r="M24" s="27"/>
      <c r="N24" s="27">
        <f t="shared" si="0"/>
        <v>0</v>
      </c>
      <c r="O24" s="27">
        <f t="shared" si="0"/>
        <v>0</v>
      </c>
      <c r="P24" s="27">
        <f t="shared" si="0"/>
        <v>0</v>
      </c>
      <c r="Q24" s="27">
        <f t="shared" si="0"/>
        <v>0</v>
      </c>
      <c r="R24" s="27">
        <f t="shared" si="0"/>
        <v>0</v>
      </c>
      <c r="S24" s="27">
        <f t="shared" si="0"/>
        <v>0</v>
      </c>
      <c r="T24" s="27">
        <f t="shared" si="0"/>
        <v>0</v>
      </c>
      <c r="U24" s="27">
        <f t="shared" si="0"/>
        <v>0</v>
      </c>
      <c r="V24" s="27">
        <f>SUM(M3:M23)</f>
        <v>0</v>
      </c>
      <c r="W24" s="27">
        <f>SUM(L3:L23)</f>
        <v>0</v>
      </c>
      <c r="X24" s="27">
        <f>SUM(J3:J23)</f>
        <v>0</v>
      </c>
      <c r="Y24" s="27">
        <f t="shared" si="0"/>
        <v>0</v>
      </c>
      <c r="Z24" s="27">
        <f t="shared" si="0"/>
        <v>0</v>
      </c>
      <c r="AA24" s="27">
        <f t="shared" si="0"/>
        <v>0</v>
      </c>
      <c r="AB24" s="27">
        <f t="shared" si="0"/>
        <v>0</v>
      </c>
      <c r="AC24" s="27">
        <f t="shared" si="0"/>
        <v>0</v>
      </c>
      <c r="AD24" s="27">
        <f t="shared" si="0"/>
        <v>0</v>
      </c>
      <c r="AE24" s="27">
        <f t="shared" si="0"/>
        <v>0</v>
      </c>
      <c r="AF24" s="27">
        <f t="shared" si="0"/>
        <v>0</v>
      </c>
      <c r="AG24" s="27">
        <f t="shared" si="0"/>
        <v>0</v>
      </c>
      <c r="AH24" s="27">
        <f t="shared" si="0"/>
        <v>0</v>
      </c>
      <c r="AI24" s="27">
        <f t="shared" si="0"/>
        <v>0</v>
      </c>
      <c r="AJ24" s="27">
        <f t="shared" si="0"/>
        <v>0</v>
      </c>
      <c r="AK24" s="27">
        <f t="shared" si="0"/>
        <v>0</v>
      </c>
      <c r="AL24" s="27">
        <f t="shared" si="0"/>
        <v>0</v>
      </c>
      <c r="AM24" s="27">
        <f t="shared" si="0"/>
        <v>0</v>
      </c>
      <c r="AN24" s="27">
        <f t="shared" si="0"/>
        <v>0</v>
      </c>
      <c r="AO24" s="27">
        <f t="shared" si="0"/>
        <v>0</v>
      </c>
      <c r="AP24" s="27">
        <f t="shared" si="0"/>
        <v>0</v>
      </c>
      <c r="AQ24" s="27">
        <f t="shared" si="0"/>
        <v>0</v>
      </c>
      <c r="AR24" s="27">
        <f t="shared" si="0"/>
        <v>0</v>
      </c>
      <c r="AS24" s="27">
        <f>SUM(AS3:AS23)</f>
        <v>0</v>
      </c>
      <c r="AT24" s="27">
        <f>SUM(AT3:AT23)</f>
        <v>0</v>
      </c>
    </row>
    <row r="26" spans="1:46" x14ac:dyDescent="0.25">
      <c r="A26" s="7" t="s">
        <v>109</v>
      </c>
      <c r="B26" t="s">
        <v>108</v>
      </c>
      <c r="C26" t="s">
        <v>107</v>
      </c>
      <c r="D26" t="s">
        <v>106</v>
      </c>
      <c r="E26" s="2" t="s">
        <v>105</v>
      </c>
      <c r="F26" s="2"/>
    </row>
    <row r="27" spans="1:46" x14ac:dyDescent="0.25">
      <c r="A27" s="8" t="s">
        <v>112</v>
      </c>
      <c r="B27" s="9"/>
      <c r="C27" s="9"/>
      <c r="D27" s="9"/>
      <c r="E27" s="2" t="e">
        <f>+GETPIVOTDATA("Sum of Total Earnings",$A$26,"Department","Administration")-GETPIVOTDATA("Sum of WELL",$A$26,"Department","Administration")-GETPIVOTDATA("Sum of ETECH",$A$26,"Department","Administration")</f>
        <v>#REF!</v>
      </c>
      <c r="F27" s="2"/>
    </row>
    <row r="28" spans="1:46" x14ac:dyDescent="0.25">
      <c r="A28" s="8" t="s">
        <v>104</v>
      </c>
      <c r="B28" s="9"/>
      <c r="C28" s="9"/>
      <c r="D28" s="9"/>
      <c r="E28" s="2" t="e">
        <f>+GETPIVOTDATA("Sum of Total Earnings",$A$26,"Department","Marketing")-GETPIVOTDATA("Sum of WELL",$A$26,"Department","Marketing")-GETPIVOTDATA("Sum of ETECH",$A$26,"Department","Marketing")</f>
        <v>#REF!</v>
      </c>
      <c r="F28" s="2"/>
    </row>
    <row r="29" spans="1:46" x14ac:dyDescent="0.25">
      <c r="A29"/>
      <c r="B29"/>
      <c r="C29"/>
      <c r="D29"/>
      <c r="E29" s="2" t="e">
        <f>+GETPIVOTDATA("Sum of Total Earnings",$A$26,"Department","Sales &amp; Partnerships")-GETPIVOTDATA("Sum of WELL",$A$26,"Department","Sales &amp; Partnerships")-GETPIVOTDATA("Sum of ETECH",$A$26,"Department","Sales &amp; Partnerships")</f>
        <v>#REF!</v>
      </c>
      <c r="F29" s="2"/>
    </row>
    <row r="30" spans="1:46" x14ac:dyDescent="0.25">
      <c r="A30"/>
      <c r="B30"/>
      <c r="C30"/>
      <c r="D30"/>
      <c r="E30" s="2" t="e">
        <f>+GETPIVOTDATA("Sum of Total Earnings",$A$26,"Department","Education")-GETPIVOTDATA("Sum of WELL",$A$26,"Department","Education")-GETPIVOTDATA("Sum of ETECH",$A$26,"Department","Education")</f>
        <v>#REF!</v>
      </c>
      <c r="F30" s="2"/>
    </row>
    <row r="31" spans="1:46" x14ac:dyDescent="0.25">
      <c r="A31"/>
      <c r="B31"/>
      <c r="C31"/>
      <c r="D31"/>
      <c r="E31" s="2" t="e">
        <f>+GETPIVOTDATA("Sum of Total Earnings",$A$26,"Department","Member Services")-GETPIVOTDATA("Sum of WELL",$A$26,"Department","Member Services")-GETPIVOTDATA("Sum of ETECH",$A$26,"Department","Member Services")</f>
        <v>#REF!</v>
      </c>
      <c r="F31" s="2"/>
    </row>
    <row r="32" spans="1:46" x14ac:dyDescent="0.25">
      <c r="A32"/>
      <c r="B32"/>
      <c r="C32"/>
      <c r="D32"/>
      <c r="E32" s="2" t="e">
        <f>SUM(E27:E31)</f>
        <v>#REF!</v>
      </c>
      <c r="F32" s="2">
        <f>+H24+I24+N24+T24+U24+V24+X24+W24</f>
        <v>0</v>
      </c>
      <c r="G32" s="6"/>
    </row>
    <row r="33" spans="1:6" x14ac:dyDescent="0.25">
      <c r="E33" s="2"/>
      <c r="F33" s="2"/>
    </row>
    <row r="36" spans="1:6" x14ac:dyDescent="0.25">
      <c r="A36" s="5" t="s">
        <v>103</v>
      </c>
      <c r="B36" s="5" t="s">
        <v>102</v>
      </c>
      <c r="C36" s="4" t="s">
        <v>101</v>
      </c>
      <c r="D36" s="4" t="s">
        <v>100</v>
      </c>
      <c r="E36" s="2" t="s">
        <v>99</v>
      </c>
    </row>
    <row r="37" spans="1:6" x14ac:dyDescent="0.25">
      <c r="A37" s="1" t="s">
        <v>118</v>
      </c>
      <c r="B37" s="1">
        <v>60002.1</v>
      </c>
      <c r="C37" s="2" t="e">
        <f>+E27</f>
        <v>#REF!</v>
      </c>
      <c r="D37" s="2"/>
      <c r="E37" s="2" t="s">
        <v>96</v>
      </c>
    </row>
    <row r="38" spans="1:6" x14ac:dyDescent="0.25">
      <c r="A38" s="1" t="s">
        <v>98</v>
      </c>
      <c r="B38" s="1">
        <v>60002.2</v>
      </c>
      <c r="C38" s="2" t="e">
        <f>+E30</f>
        <v>#REF!</v>
      </c>
      <c r="D38" s="2"/>
      <c r="E38" s="2" t="s">
        <v>96</v>
      </c>
    </row>
    <row r="39" spans="1:6" x14ac:dyDescent="0.25">
      <c r="A39" s="1" t="s">
        <v>62</v>
      </c>
      <c r="B39" s="1">
        <v>60002.3</v>
      </c>
      <c r="C39" s="2" t="e">
        <f>+E28</f>
        <v>#REF!</v>
      </c>
      <c r="D39" s="2"/>
      <c r="E39" s="2" t="s">
        <v>96</v>
      </c>
    </row>
    <row r="40" spans="1:6" x14ac:dyDescent="0.25">
      <c r="A40" s="1" t="s">
        <v>66</v>
      </c>
      <c r="B40" s="1">
        <v>60002.400000000001</v>
      </c>
      <c r="C40" s="2" t="e">
        <f>+E31</f>
        <v>#REF!</v>
      </c>
      <c r="D40" s="2"/>
      <c r="E40" s="2" t="s">
        <v>96</v>
      </c>
    </row>
    <row r="41" spans="1:6" x14ac:dyDescent="0.25">
      <c r="A41" s="1" t="s">
        <v>97</v>
      </c>
      <c r="B41" s="1">
        <v>60002.5</v>
      </c>
      <c r="C41" s="2" t="e">
        <f>+E29</f>
        <v>#REF!</v>
      </c>
      <c r="D41" s="2"/>
      <c r="E41" s="2" t="s">
        <v>96</v>
      </c>
    </row>
    <row r="42" spans="1:6" x14ac:dyDescent="0.25">
      <c r="A42" s="1" t="s">
        <v>95</v>
      </c>
      <c r="B42" s="1">
        <v>60018</v>
      </c>
      <c r="C42" s="2">
        <f>+GETPIVOTDATA("Sum of ETECH",$A$26)</f>
        <v>0</v>
      </c>
      <c r="D42" s="2"/>
      <c r="E42" s="2" t="s">
        <v>94</v>
      </c>
    </row>
    <row r="43" spans="1:6" x14ac:dyDescent="0.25">
      <c r="A43" s="1" t="s">
        <v>93</v>
      </c>
      <c r="B43" s="1">
        <v>60001.2</v>
      </c>
      <c r="C43" s="2">
        <f>+GETPIVOTDATA("Sum of WELL",$A$26)</f>
        <v>0</v>
      </c>
      <c r="D43" s="2"/>
      <c r="E43" s="2" t="s">
        <v>93</v>
      </c>
    </row>
    <row r="44" spans="1:6" x14ac:dyDescent="0.25">
      <c r="A44" s="1" t="s">
        <v>92</v>
      </c>
      <c r="B44" s="1">
        <v>60001.3</v>
      </c>
      <c r="C44" s="2">
        <f>+AM24</f>
        <v>0</v>
      </c>
      <c r="D44" s="2"/>
      <c r="E44" s="2" t="s">
        <v>92</v>
      </c>
    </row>
    <row r="45" spans="1:6" x14ac:dyDescent="0.25">
      <c r="A45" s="3" t="s">
        <v>91</v>
      </c>
      <c r="B45" s="1">
        <v>24520</v>
      </c>
      <c r="C45" s="2"/>
      <c r="D45" s="2">
        <f>+AP24</f>
        <v>0</v>
      </c>
      <c r="E45" s="2" t="s">
        <v>90</v>
      </c>
    </row>
    <row r="46" spans="1:6" x14ac:dyDescent="0.25">
      <c r="A46" s="3" t="s">
        <v>89</v>
      </c>
      <c r="B46" s="1">
        <v>24530</v>
      </c>
      <c r="C46" s="2"/>
      <c r="D46" s="2">
        <f>+AQ24</f>
        <v>0</v>
      </c>
      <c r="E46" s="2" t="s">
        <v>88</v>
      </c>
    </row>
    <row r="47" spans="1:6" x14ac:dyDescent="0.25">
      <c r="A47" s="3" t="s">
        <v>87</v>
      </c>
      <c r="B47" s="1">
        <v>24540</v>
      </c>
      <c r="C47" s="2"/>
      <c r="D47" s="2">
        <f>+AR24</f>
        <v>0</v>
      </c>
      <c r="E47" s="2" t="s">
        <v>86</v>
      </c>
    </row>
    <row r="48" spans="1:6" x14ac:dyDescent="0.25">
      <c r="A48" s="1" t="s">
        <v>85</v>
      </c>
      <c r="B48" s="1">
        <v>60001.2</v>
      </c>
      <c r="C48" s="2">
        <f>+K24</f>
        <v>0</v>
      </c>
      <c r="D48" s="2"/>
      <c r="E48" s="2" t="s">
        <v>81</v>
      </c>
    </row>
    <row r="49" spans="1:5" x14ac:dyDescent="0.25">
      <c r="A49" s="1" t="s">
        <v>83</v>
      </c>
      <c r="B49" s="1">
        <v>24100</v>
      </c>
      <c r="C49" s="2"/>
      <c r="D49" s="2">
        <f>+AN24</f>
        <v>0</v>
      </c>
      <c r="E49" s="2" t="s">
        <v>83</v>
      </c>
    </row>
    <row r="50" spans="1:5" x14ac:dyDescent="0.25">
      <c r="A50" s="1" t="s">
        <v>84</v>
      </c>
      <c r="B50" s="1">
        <v>24100</v>
      </c>
      <c r="C50" s="2"/>
      <c r="D50" s="2">
        <f>+AO24</f>
        <v>0</v>
      </c>
      <c r="E50" s="2" t="s">
        <v>83</v>
      </c>
    </row>
    <row r="51" spans="1:5" ht="13.5" customHeight="1" x14ac:dyDescent="0.25">
      <c r="A51" s="1" t="s">
        <v>82</v>
      </c>
      <c r="B51" s="1">
        <v>24100</v>
      </c>
      <c r="C51" s="2"/>
      <c r="D51" s="2">
        <f>+K24</f>
        <v>0</v>
      </c>
      <c r="E51" s="2" t="s">
        <v>81</v>
      </c>
    </row>
    <row r="52" spans="1:5" x14ac:dyDescent="0.25">
      <c r="A52" s="1" t="s">
        <v>80</v>
      </c>
      <c r="B52" s="1">
        <v>24100</v>
      </c>
      <c r="C52" s="2">
        <f>+D49+D50+D51</f>
        <v>0</v>
      </c>
      <c r="D52" s="2"/>
      <c r="E52" s="2"/>
    </row>
    <row r="53" spans="1:5" x14ac:dyDescent="0.25">
      <c r="A53" s="1" t="s">
        <v>79</v>
      </c>
      <c r="B53" s="1">
        <v>10200</v>
      </c>
      <c r="C53" s="2"/>
      <c r="D53" s="2">
        <f>+C52</f>
        <v>0</v>
      </c>
      <c r="E53" s="2"/>
    </row>
    <row r="54" spans="1:5" x14ac:dyDescent="0.25">
      <c r="A54" s="1" t="s">
        <v>75</v>
      </c>
      <c r="B54" s="1">
        <v>10200</v>
      </c>
      <c r="C54" s="2"/>
      <c r="D54" s="2">
        <f>+G24</f>
        <v>0</v>
      </c>
      <c r="E54" s="2"/>
    </row>
    <row r="55" spans="1:5" x14ac:dyDescent="0.25">
      <c r="A55" s="1" t="s">
        <v>78</v>
      </c>
      <c r="B55" s="1">
        <v>10200</v>
      </c>
      <c r="C55" s="2"/>
      <c r="D55" s="2">
        <f>+AG24+AM24</f>
        <v>0</v>
      </c>
      <c r="E55" s="2"/>
    </row>
    <row r="56" spans="1:5" x14ac:dyDescent="0.25">
      <c r="C56" s="2"/>
      <c r="D56" s="2"/>
      <c r="E56" s="2"/>
    </row>
    <row r="57" spans="1:5" x14ac:dyDescent="0.25">
      <c r="C57" s="2"/>
      <c r="D57" s="2"/>
      <c r="E57" s="2"/>
    </row>
    <row r="58" spans="1:5" x14ac:dyDescent="0.25">
      <c r="C58" s="2" t="e">
        <f>SUM(C37:C57)</f>
        <v>#REF!</v>
      </c>
      <c r="D58" s="2">
        <f>SUM(D37:D57)</f>
        <v>0</v>
      </c>
      <c r="E58" s="2"/>
    </row>
    <row r="59" spans="1:5" x14ac:dyDescent="0.25">
      <c r="C59" s="2"/>
      <c r="D59" s="2"/>
      <c r="E59" s="2"/>
    </row>
    <row r="60" spans="1:5" x14ac:dyDescent="0.25">
      <c r="C60" s="2"/>
      <c r="D60" s="2" t="s">
        <v>114</v>
      </c>
      <c r="E60" s="2"/>
    </row>
    <row r="61" spans="1:5" x14ac:dyDescent="0.25">
      <c r="A61" s="1" t="s">
        <v>77</v>
      </c>
      <c r="C61" s="2"/>
      <c r="D61" s="2"/>
      <c r="E61" s="2"/>
    </row>
    <row r="62" spans="1:5" x14ac:dyDescent="0.25">
      <c r="A62" s="1" t="s">
        <v>76</v>
      </c>
      <c r="C62" s="11"/>
      <c r="D62" s="2">
        <f>C62-D53</f>
        <v>0</v>
      </c>
    </row>
    <row r="63" spans="1:5" x14ac:dyDescent="0.25">
      <c r="A63" s="1" t="s">
        <v>75</v>
      </c>
      <c r="C63" s="11"/>
      <c r="D63" s="2">
        <f>C63-D54</f>
        <v>0</v>
      </c>
    </row>
    <row r="64" spans="1:5" x14ac:dyDescent="0.25">
      <c r="A64" s="1" t="s">
        <v>74</v>
      </c>
      <c r="C64" s="11"/>
      <c r="D64" s="2">
        <f>C64-D55</f>
        <v>0</v>
      </c>
    </row>
  </sheetData>
  <conditionalFormatting sqref="D62:D64">
    <cfRule type="cellIs" dxfId="1" priority="1" operator="notEqual">
      <formula>0</formula>
    </cfRule>
  </conditionalFormatting>
  <pageMargins left="0.25" right="0" top="1" bottom="0.95" header="0.25" footer="0.25"/>
  <pageSetup paperSize="5" orientation="landscape" horizontalDpi="300" verticalDpi="300"/>
  <headerFooter alignWithMargins="0">
    <oddHeader>&amp;L&amp;"Times New Roman,Regular"&amp;8 Check Date: 07\\14\\2023 
&amp;"-,Bold"&amp;11 Payroll Register Data Export YTD 
&amp;"-,Bold"&amp;8Page &amp;P of &amp;N 
&amp;"-,Regular"Process: 2023071401 
&amp;"-,Regular"Pay Period:  06/27/2023 to 07/11/2023 
&amp;"-,Regular"&amp;10 National Ski Patrol Syste</oddHeader>
    <oddFooter>&amp;L&amp;"Times New Roman,Regular"&amp;8 Paylocity Corporation
(888) 873-8205 
&amp;"-,Regular"User: mkurcz 
&amp;"-,Regular"Run on 7/13/2023 at 3:00 PM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28D3F-9008-4A06-B93B-6F3C36B061E9}">
  <sheetPr codeName="Sheet5"/>
  <dimension ref="A2:B9"/>
  <sheetViews>
    <sheetView workbookViewId="0">
      <selection activeCell="I22" sqref="I22"/>
    </sheetView>
  </sheetViews>
  <sheetFormatPr defaultRowHeight="15" x14ac:dyDescent="0.25"/>
  <cols>
    <col min="1" max="1" width="19" bestFit="1" customWidth="1"/>
  </cols>
  <sheetData>
    <row r="2" spans="1:2" x14ac:dyDescent="0.25">
      <c r="A2" t="s">
        <v>113</v>
      </c>
      <c r="B2" t="s">
        <v>38</v>
      </c>
    </row>
    <row r="3" spans="1:2" x14ac:dyDescent="0.25">
      <c r="A3" t="s">
        <v>117</v>
      </c>
      <c r="B3">
        <f>IFERROR(MATCH(B2,Template!$A$1:$ZZ$1,0),-1)</f>
        <v>46</v>
      </c>
    </row>
    <row r="5" spans="1:2" x14ac:dyDescent="0.25">
      <c r="A5" t="s">
        <v>116</v>
      </c>
      <c r="B5">
        <f>COUNTIF(RAW!E3:E999,"*")</f>
        <v>24</v>
      </c>
    </row>
    <row r="6" spans="1:2" x14ac:dyDescent="0.25">
      <c r="A6" t="s">
        <v>115</v>
      </c>
      <c r="B6">
        <f>COUNTIF(Template!$A$1:$ZZ$1,"*")</f>
        <v>46</v>
      </c>
    </row>
    <row r="8" spans="1:2" x14ac:dyDescent="0.25">
      <c r="A8" t="s">
        <v>120</v>
      </c>
      <c r="B8">
        <f>B6</f>
        <v>46</v>
      </c>
    </row>
    <row r="9" spans="1:2" x14ac:dyDescent="0.25">
      <c r="A9" t="s">
        <v>119</v>
      </c>
      <c r="B9" t="str">
        <f>SUBSTITUTE(ADDRESS(1,B8, 4), "1", "")</f>
        <v>AT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Button</vt:lpstr>
      <vt:lpstr>Output</vt:lpstr>
      <vt:lpstr>RAW</vt:lpstr>
      <vt:lpstr>Template</vt:lpstr>
      <vt:lpstr>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Tefft</dc:creator>
  <cp:lastModifiedBy>Jeffrey Tefft</cp:lastModifiedBy>
  <dcterms:created xsi:type="dcterms:W3CDTF">2023-08-31T21:11:26Z</dcterms:created>
  <dcterms:modified xsi:type="dcterms:W3CDTF">2024-04-30T21:22:33Z</dcterms:modified>
</cp:coreProperties>
</file>